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omments1.xml" ContentType="application/vnd.openxmlformats-officedocument.spreadsheetml.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style3.xml" ContentType="application/vnd.ms-office.chartstyle+xml"/>
  <Override PartName="/xl/charts/colors3.xml" ContentType="application/vnd.ms-office.chartcolorstyle+xml"/>
  <Override PartName="/xl/charts/chart8.xml" ContentType="application/vnd.openxmlformats-officedocument.drawingml.chart+xml"/>
  <Override PartName="/xl/charts/style4.xml" ContentType="application/vnd.ms-office.chartstyle+xml"/>
  <Override PartName="/xl/charts/colors4.xml" ContentType="application/vnd.ms-office.chartcolorstyle+xml"/>
  <Override PartName="/xl/charts/chart9.xml" ContentType="application/vnd.openxmlformats-officedocument.drawingml.chart+xml"/>
  <Override PartName="/xl/charts/style5.xml" ContentType="application/vnd.ms-office.chartstyle+xml"/>
  <Override PartName="/xl/charts/colors5.xml" ContentType="application/vnd.ms-office.chartcolorstyle+xml"/>
  <Override PartName="/xl/charts/chart10.xml" ContentType="application/vnd.openxmlformats-officedocument.drawingml.chart+xml"/>
  <Override PartName="/xl/charts/style6.xml" ContentType="application/vnd.ms-office.chartstyle+xml"/>
  <Override PartName="/xl/charts/colors6.xml" ContentType="application/vnd.ms-office.chartcolorstyle+xml"/>
  <Override PartName="/xl/charts/chart11.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1.xml" ContentType="application/vnd.openxmlformats-officedocument.themeOverride+xml"/>
  <Override PartName="/xl/charts/chart12.xml" ContentType="application/vnd.openxmlformats-officedocument.drawingml.chart+xml"/>
  <Override PartName="/xl/charts/style8.xml" ContentType="application/vnd.ms-office.chartstyle+xml"/>
  <Override PartName="/xl/charts/colors8.xml" ContentType="application/vnd.ms-office.chartcolorstyle+xml"/>
  <Override PartName="/xl/charts/chart13.xml" ContentType="application/vnd.openxmlformats-officedocument.drawingml.chart+xml"/>
  <Override PartName="/xl/charts/style9.xml" ContentType="application/vnd.ms-office.chartstyle+xml"/>
  <Override PartName="/xl/charts/colors9.xml" ContentType="application/vnd.ms-office.chartcolorstyle+xml"/>
  <Override PartName="/xl/charts/chart14.xml" ContentType="application/vnd.openxmlformats-officedocument.drawingml.chart+xml"/>
  <Override PartName="/xl/charts/style10.xml" ContentType="application/vnd.ms-office.chartstyle+xml"/>
  <Override PartName="/xl/charts/colors10.xml" ContentType="application/vnd.ms-office.chartcolorstyle+xml"/>
  <Override PartName="/xl/charts/chart15.xml" ContentType="application/vnd.openxmlformats-officedocument.drawingml.chart+xml"/>
  <Override PartName="/xl/charts/style11.xml" ContentType="application/vnd.ms-office.chartstyle+xml"/>
  <Override PartName="/xl/charts/colors11.xml" ContentType="application/vnd.ms-office.chartcolorstyle+xml"/>
  <Override PartName="/xl/charts/chart16.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drawings/drawing5.xml" ContentType="application/vnd.openxmlformats-officedocument.drawing+xml"/>
  <Override PartName="/xl/charts/chart31.xml" ContentType="application/vnd.openxmlformats-officedocument.drawingml.chart+xml"/>
  <Override PartName="/xl/charts/style13.xml" ContentType="application/vnd.ms-office.chartstyle+xml"/>
  <Override PartName="/xl/charts/colors13.xml" ContentType="application/vnd.ms-office.chartcolorstyle+xml"/>
  <Override PartName="/xl/charts/chart32.xml" ContentType="application/vnd.openxmlformats-officedocument.drawingml.chart+xml"/>
  <Override PartName="/xl/charts/style14.xml" ContentType="application/vnd.ms-office.chartstyle+xml"/>
  <Override PartName="/xl/charts/colors14.xml" ContentType="application/vnd.ms-office.chartcolorstyle+xml"/>
  <Override PartName="/xl/charts/chart33.xml" ContentType="application/vnd.openxmlformats-officedocument.drawingml.chart+xml"/>
  <Override PartName="/xl/charts/style15.xml" ContentType="application/vnd.ms-office.chartstyle+xml"/>
  <Override PartName="/xl/charts/colors15.xml" ContentType="application/vnd.ms-office.chartcolorstyle+xml"/>
  <Override PartName="/xl/charts/chart34.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6.xml" ContentType="application/vnd.openxmlformats-officedocument.drawing+xml"/>
  <Override PartName="/xl/comments2.xml" ContentType="application/vnd.openxmlformats-officedocument.spreadsheetml.comments+xml"/>
  <Override PartName="/xl/charts/chart35.xml" ContentType="application/vnd.openxmlformats-officedocument.drawingml.chart+xml"/>
  <Override PartName="/xl/charts/style17.xml" ContentType="application/vnd.ms-office.chartstyle+xml"/>
  <Override PartName="/xl/charts/colors17.xml" ContentType="application/vnd.ms-office.chartcolorstyle+xml"/>
  <Override PartName="/xl/charts/chart36.xml" ContentType="application/vnd.openxmlformats-officedocument.drawingml.chart+xml"/>
  <Override PartName="/xl/charts/style18.xml" ContentType="application/vnd.ms-office.chartstyle+xml"/>
  <Override PartName="/xl/charts/colors18.xml" ContentType="application/vnd.ms-office.chartcolorstyle+xml"/>
  <Override PartName="/xl/charts/chart37.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7.xml" ContentType="application/vnd.openxmlformats-officedocument.drawingml.chartshapes+xml"/>
  <Override PartName="/xl/charts/chart38.xml" ContentType="application/vnd.openxmlformats-officedocument.drawingml.chart+xml"/>
  <Override PartName="/xl/charts/style20.xml" ContentType="application/vnd.ms-office.chartstyle+xml"/>
  <Override PartName="/xl/charts/colors20.xml" ContentType="application/vnd.ms-office.chartcolorstyle+xml"/>
  <Override PartName="/xl/charts/chart39.xml" ContentType="application/vnd.openxmlformats-officedocument.drawingml.chart+xml"/>
  <Override PartName="/xl/charts/style21.xml" ContentType="application/vnd.ms-office.chartstyle+xml"/>
  <Override PartName="/xl/charts/colors21.xml" ContentType="application/vnd.ms-office.chartcolorstyle+xml"/>
  <Override PartName="/xl/charts/chart40.xml" ContentType="application/vnd.openxmlformats-officedocument.drawingml.chart+xml"/>
  <Override PartName="/xl/charts/style22.xml" ContentType="application/vnd.ms-office.chartstyle+xml"/>
  <Override PartName="/xl/charts/colors22.xml" ContentType="application/vnd.ms-office.chartcolorstyle+xml"/>
  <Override PartName="/xl/charts/chart41.xml" ContentType="application/vnd.openxmlformats-officedocument.drawingml.chart+xml"/>
  <Override PartName="/xl/charts/style23.xml" ContentType="application/vnd.ms-office.chartstyle+xml"/>
  <Override PartName="/xl/charts/colors23.xml" ContentType="application/vnd.ms-office.chartcolorstyle+xml"/>
  <Override PartName="/xl/charts/chart42.xml" ContentType="application/vnd.openxmlformats-officedocument.drawingml.chart+xml"/>
  <Override PartName="/xl/charts/style24.xml" ContentType="application/vnd.ms-office.chartstyle+xml"/>
  <Override PartName="/xl/charts/colors24.xml" ContentType="application/vnd.ms-office.chartcolorstyle+xml"/>
  <Override PartName="/xl/charts/chart43.xml" ContentType="application/vnd.openxmlformats-officedocument.drawingml.chart+xml"/>
  <Override PartName="/xl/charts/style25.xml" ContentType="application/vnd.ms-office.chartstyle+xml"/>
  <Override PartName="/xl/charts/colors25.xml" ContentType="application/vnd.ms-office.chartcolorstyle+xml"/>
  <Override PartName="/xl/charts/chart44.xml" ContentType="application/vnd.openxmlformats-officedocument.drawingml.chart+xml"/>
  <Override PartName="/xl/charts/style26.xml" ContentType="application/vnd.ms-office.chartstyle+xml"/>
  <Override PartName="/xl/charts/colors26.xml" ContentType="application/vnd.ms-office.chartcolorstyle+xml"/>
  <Override PartName="/xl/charts/chart45.xml" ContentType="application/vnd.openxmlformats-officedocument.drawingml.chart+xml"/>
  <Override PartName="/xl/charts/style27.xml" ContentType="application/vnd.ms-office.chartstyle+xml"/>
  <Override PartName="/xl/charts/colors27.xml" ContentType="application/vnd.ms-office.chartcolorstyle+xml"/>
  <Override PartName="/xl/charts/chart46.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8.xml" ContentType="application/vnd.openxmlformats-officedocument.drawing+xml"/>
  <Override PartName="/xl/charts/chart47.xml" ContentType="application/vnd.openxmlformats-officedocument.drawingml.chart+xml"/>
  <Override PartName="/xl/charts/chart48.xml" ContentType="application/vnd.openxmlformats-officedocument.drawingml.chart+xml"/>
  <Override PartName="/xl/comments3.xml" ContentType="application/vnd.openxmlformats-officedocument.spreadsheetml.comments+xml"/>
  <Override PartName="/xl/drawings/drawing9.xml" ContentType="application/vnd.openxmlformats-officedocument.drawing+xml"/>
  <Override PartName="/xl/charts/chart49.xml" ContentType="application/vnd.openxmlformats-officedocument.drawingml.chart+xml"/>
  <Override PartName="/xl/theme/themeOverride2.xml" ContentType="application/vnd.openxmlformats-officedocument.themeOverride+xml"/>
  <Override PartName="/xl/charts/chart50.xml" ContentType="application/vnd.openxmlformats-officedocument.drawingml.chart+xml"/>
  <Override PartName="/xl/theme/themeOverride3.xml" ContentType="application/vnd.openxmlformats-officedocument.themeOverride+xml"/>
  <Override PartName="/xl/charts/chart51.xml" ContentType="application/vnd.openxmlformats-officedocument.drawingml.chart+xml"/>
  <Override PartName="/xl/charts/chart52.xml" ContentType="application/vnd.openxmlformats-officedocument.drawingml.chart+xml"/>
  <Override PartName="/xl/theme/themeOverride4.xml" ContentType="application/vnd.openxmlformats-officedocument.themeOverride+xml"/>
  <Override PartName="/xl/charts/chart53.xml" ContentType="application/vnd.openxmlformats-officedocument.drawingml.chart+xml"/>
  <Override PartName="/xl/charts/chart54.xml" ContentType="application/vnd.openxmlformats-officedocument.drawingml.chart+xml"/>
  <Override PartName="/xl/theme/themeOverride5.xml" ContentType="application/vnd.openxmlformats-officedocument.themeOverride+xml"/>
  <Override PartName="/xl/charts/chart55.xml" ContentType="application/vnd.openxmlformats-officedocument.drawingml.chart+xml"/>
  <Override PartName="/xl/theme/themeOverride6.xml" ContentType="application/vnd.openxmlformats-officedocument.themeOverride+xml"/>
  <Override PartName="/xl/charts/chart56.xml" ContentType="application/vnd.openxmlformats-officedocument.drawingml.chart+xml"/>
  <Override PartName="/xl/theme/themeOverride7.xml" ContentType="application/vnd.openxmlformats-officedocument.themeOverride+xml"/>
  <Override PartName="/xl/charts/chart57.xml" ContentType="application/vnd.openxmlformats-officedocument.drawingml.chart+xml"/>
  <Override PartName="/xl/theme/themeOverride8.xml" ContentType="application/vnd.openxmlformats-officedocument.themeOverride+xml"/>
  <Override PartName="/xl/charts/chart58.xml" ContentType="application/vnd.openxmlformats-officedocument.drawingml.chart+xml"/>
  <Override PartName="/xl/theme/themeOverride9.xml" ContentType="application/vnd.openxmlformats-officedocument.themeOverride+xml"/>
  <Override PartName="/xl/charts/chart59.xml" ContentType="application/vnd.openxmlformats-officedocument.drawingml.chart+xml"/>
  <Override PartName="/xl/theme/themeOverride10.xml" ContentType="application/vnd.openxmlformats-officedocument.themeOverride+xml"/>
  <Override PartName="/xl/drawings/drawing10.xml" ContentType="application/vnd.openxmlformats-officedocument.drawing+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charts/style29.xml" ContentType="application/vnd.ms-office.chartstyle+xml"/>
  <Override PartName="/xl/charts/colors29.xml" ContentType="application/vnd.ms-office.chartcolorstyle+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charts/chart70.xml" ContentType="application/vnd.openxmlformats-officedocument.drawingml.chart+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charts/chart74.xml" ContentType="application/vnd.openxmlformats-officedocument.drawingml.chart+xml"/>
  <Override PartName="/xl/charts/style30.xml" ContentType="application/vnd.ms-office.chartstyle+xml"/>
  <Override PartName="/xl/charts/colors30.xml" ContentType="application/vnd.ms-office.chartcolorstyle+xml"/>
  <Override PartName="/xl/charts/chart75.xml" ContentType="application/vnd.openxmlformats-officedocument.drawingml.chart+xml"/>
  <Override PartName="/xl/charts/style31.xml" ContentType="application/vnd.ms-office.chartstyle+xml"/>
  <Override PartName="/xl/charts/colors31.xml" ContentType="application/vnd.ms-office.chartcolorstyle+xml"/>
  <Override PartName="/xl/charts/chart76.xml" ContentType="application/vnd.openxmlformats-officedocument.drawingml.chart+xml"/>
  <Override PartName="/xl/charts/style32.xml" ContentType="application/vnd.ms-office.chartstyle+xml"/>
  <Override PartName="/xl/charts/colors32.xml" ContentType="application/vnd.ms-office.chartcolorstyle+xml"/>
  <Override PartName="/xl/charts/chart77.xml" ContentType="application/vnd.openxmlformats-officedocument.drawingml.chart+xml"/>
  <Override PartName="/xl/charts/style33.xml" ContentType="application/vnd.ms-office.chartstyle+xml"/>
  <Override PartName="/xl/charts/colors33.xml" ContentType="application/vnd.ms-office.chartcolorstyle+xml"/>
  <Override PartName="/xl/charts/chart78.xml" ContentType="application/vnd.openxmlformats-officedocument.drawingml.chart+xml"/>
  <Override PartName="/xl/charts/style34.xml" ContentType="application/vnd.ms-office.chartstyle+xml"/>
  <Override PartName="/xl/charts/colors34.xml" ContentType="application/vnd.ms-office.chartcolorstyle+xml"/>
  <Override PartName="/xl/drawings/drawing11.xml" ContentType="application/vnd.openxmlformats-officedocument.drawing+xml"/>
  <Override PartName="/xl/charts/chart79.xml" ContentType="application/vnd.openxmlformats-officedocument.drawingml.chart+xml"/>
  <Override PartName="/xl/charts/style35.xml" ContentType="application/vnd.ms-office.chartstyle+xml"/>
  <Override PartName="/xl/charts/colors35.xml" ContentType="application/vnd.ms-office.chartcolorstyle+xml"/>
  <Override PartName="/xl/charts/chart80.xml" ContentType="application/vnd.openxmlformats-officedocument.drawingml.chart+xml"/>
  <Override PartName="/xl/charts/style36.xml" ContentType="application/vnd.ms-office.chartstyle+xml"/>
  <Override PartName="/xl/charts/colors36.xml" ContentType="application/vnd.ms-office.chartcolorstyle+xml"/>
  <Override PartName="/xl/charts/chart81.xml" ContentType="application/vnd.openxmlformats-officedocument.drawingml.chart+xml"/>
  <Override PartName="/xl/charts/style37.xml" ContentType="application/vnd.ms-office.chartstyle+xml"/>
  <Override PartName="/xl/charts/colors37.xml" ContentType="application/vnd.ms-office.chartcolorstyle+xml"/>
  <Override PartName="/xl/charts/chart82.xml" ContentType="application/vnd.openxmlformats-officedocument.drawingml.chart+xml"/>
  <Override PartName="/xl/charts/style38.xml" ContentType="application/vnd.ms-office.chartstyle+xml"/>
  <Override PartName="/xl/charts/colors38.xml" ContentType="application/vnd.ms-office.chartcolorstyle+xml"/>
  <Override PartName="/xl/drawings/drawing12.xml" ContentType="application/vnd.openxmlformats-officedocument.drawing+xml"/>
  <Override PartName="/xl/charts/chart83.xml" ContentType="application/vnd.openxmlformats-officedocument.drawingml.chart+xml"/>
  <Override PartName="/xl/charts/style39.xml" ContentType="application/vnd.ms-office.chartstyle+xml"/>
  <Override PartName="/xl/charts/colors3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https://lcygroup365nam-my.sharepoint.com/personal/bobby_fitzgerald_lcygroup_com/Documents/Documents/1-Infra Work/Projects/Operations-Platform/Safety/"/>
    </mc:Choice>
  </mc:AlternateContent>
  <xr:revisionPtr revIDLastSave="0" documentId="13_ncr:1_{8304C0BE-6364-4FCA-A58B-00AD1967991F}" xr6:coauthVersionLast="47" xr6:coauthVersionMax="47" xr10:uidLastSave="{00000000-0000-0000-0000-000000000000}"/>
  <bookViews>
    <workbookView xWindow="555" yWindow="360" windowWidth="28770" windowHeight="15450" firstSheet="1" activeTab="5" xr2:uid="{DEC3AA9C-AFC0-440D-BBFD-1E8ACA3AA4DE}"/>
  </bookViews>
  <sheets>
    <sheet name="PA Metrics Site" sheetId="1" r:id="rId1"/>
    <sheet name="Rates" sheetId="10" r:id="rId2"/>
    <sheet name="Dash" sheetId="3" r:id="rId3"/>
    <sheet name="SSC-Site -21" sheetId="2" state="hidden" r:id="rId4"/>
    <sheet name="Area Data" sheetId="13" r:id="rId5"/>
    <sheet name="Incident Data" sheetId="4" r:id="rId6"/>
    <sheet name="Behavior" sheetId="17" r:id="rId7"/>
    <sheet name="Rolling" sheetId="9" state="hidden" r:id="rId8"/>
    <sheet name="ENV " sheetId="15" r:id="rId9"/>
    <sheet name="Safety Observation Dash" sheetId="6" r:id="rId10"/>
    <sheet name="SSO-Site -25 " sheetId="7" r:id="rId11"/>
    <sheet name="PPT Work" sheetId="18" r:id="rId12"/>
    <sheet name="TRIR EXP." sheetId="21" r:id="rId13"/>
    <sheet name="Sheet2" sheetId="19" r:id="rId14"/>
  </sheets>
  <definedNames>
    <definedName name="_Fill" localSheetId="4" hidden="1">#REF!</definedName>
    <definedName name="_Fill" localSheetId="3" hidden="1">#REF!</definedName>
    <definedName name="_Fill" localSheetId="10" hidden="1">#REF!</definedName>
    <definedName name="_Fill" hidden="1">#REF!</definedName>
    <definedName name="_xlnm._FilterDatabase" localSheetId="5" hidden="1">'Incident Data'!$BB$33:$BB$59</definedName>
    <definedName name="_xlnm.Print_Area" localSheetId="2">Dash!$A$1:$AL$87</definedName>
    <definedName name="_xlnm.Print_Area" localSheetId="0">'PA Metrics Site'!$B$1:$AH$46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41" i="10" l="1"/>
  <c r="F41" i="10"/>
  <c r="E41" i="10"/>
  <c r="J129" i="4"/>
  <c r="I129" i="4"/>
  <c r="J59" i="4"/>
  <c r="I59" i="4"/>
  <c r="C66" i="13" a="1"/>
  <c r="M41" i="3"/>
  <c r="L41" i="3"/>
  <c r="N41" i="3"/>
  <c r="K41" i="3"/>
  <c r="S36" i="10"/>
  <c r="Q36" i="10"/>
  <c r="P36" i="10"/>
  <c r="O36" i="10"/>
  <c r="N36" i="10"/>
  <c r="L17" i="21"/>
  <c r="M41" i="10"/>
  <c r="N51" i="10" s="1"/>
  <c r="M42" i="10"/>
  <c r="AK133" i="4"/>
  <c r="I41" i="3"/>
  <c r="J41" i="3"/>
  <c r="J41" i="10"/>
  <c r="G41" i="10"/>
  <c r="H41" i="10"/>
  <c r="G42" i="10"/>
  <c r="S35" i="10"/>
  <c r="Q35" i="10"/>
  <c r="P35" i="10"/>
  <c r="O35" i="10"/>
  <c r="N35" i="10"/>
  <c r="N34" i="10"/>
  <c r="N52" i="10" l="1"/>
  <c r="O52" i="10"/>
  <c r="D22" i="3"/>
  <c r="E22" i="3"/>
  <c r="F22" i="3"/>
  <c r="G22" i="3"/>
  <c r="H22" i="3"/>
  <c r="I22" i="3"/>
  <c r="J22" i="3"/>
  <c r="K22" i="3"/>
  <c r="L22" i="3"/>
  <c r="M22" i="3"/>
  <c r="N22" i="3"/>
  <c r="C22" i="3"/>
  <c r="N129" i="4"/>
  <c r="H59" i="4"/>
  <c r="H42" i="10"/>
  <c r="O53" i="10" s="1"/>
  <c r="N53" i="10"/>
  <c r="N54" i="10"/>
  <c r="S34" i="10"/>
  <c r="Q34" i="10"/>
  <c r="P34" i="10"/>
  <c r="O34" i="10"/>
  <c r="N33" i="10"/>
  <c r="O22" i="3" l="1"/>
  <c r="AC13" i="4"/>
  <c r="AC14" i="4"/>
  <c r="AC15" i="4"/>
  <c r="AC16" i="4"/>
  <c r="AC17" i="4"/>
  <c r="AC18" i="4"/>
  <c r="AC12" i="4"/>
  <c r="AC40" i="4"/>
  <c r="AC41" i="4"/>
  <c r="AC42" i="4"/>
  <c r="AC43" i="4"/>
  <c r="AC44" i="4"/>
  <c r="AC45" i="4"/>
  <c r="AC46" i="4"/>
  <c r="AC47" i="4"/>
  <c r="AC48" i="4"/>
  <c r="AC49" i="4"/>
  <c r="AC39" i="4"/>
  <c r="G59" i="4"/>
  <c r="F59" i="4"/>
  <c r="C62" i="13"/>
  <c r="O39" i="3"/>
  <c r="H41" i="3"/>
  <c r="S33" i="10"/>
  <c r="Q33" i="10"/>
  <c r="P33" i="10"/>
  <c r="O33" i="10"/>
  <c r="N32" i="10"/>
  <c r="P19" i="18" l="1"/>
  <c r="O36" i="3"/>
  <c r="Z52" i="10"/>
  <c r="Z51" i="10"/>
  <c r="L18" i="21"/>
  <c r="AA12" i="10"/>
  <c r="Z14" i="10"/>
  <c r="AA14" i="10"/>
  <c r="V16" i="10"/>
  <c r="W16" i="10"/>
  <c r="X16" i="10"/>
  <c r="Y16" i="10"/>
  <c r="Z16" i="10"/>
  <c r="S29" i="10"/>
  <c r="N30" i="10"/>
  <c r="Q30" i="10" s="1"/>
  <c r="N29" i="10"/>
  <c r="J42" i="10"/>
  <c r="I42" i="10"/>
  <c r="P30" i="10"/>
  <c r="S32" i="10"/>
  <c r="N31" i="10"/>
  <c r="Q31" i="10" s="1"/>
  <c r="O8" i="3"/>
  <c r="O9" i="3"/>
  <c r="O10" i="3"/>
  <c r="O11" i="3"/>
  <c r="O12" i="3"/>
  <c r="O13" i="3"/>
  <c r="O14" i="3"/>
  <c r="O15" i="3"/>
  <c r="O16" i="3"/>
  <c r="O17" i="3"/>
  <c r="O18" i="3"/>
  <c r="O19" i="3"/>
  <c r="O20" i="3"/>
  <c r="O21" i="3"/>
  <c r="O7" i="3"/>
  <c r="F41" i="3"/>
  <c r="E59" i="4"/>
  <c r="AA49" i="10"/>
  <c r="E41" i="3"/>
  <c r="D41" i="3"/>
  <c r="AJ72" i="4" s="1"/>
  <c r="D59" i="4"/>
  <c r="C42" i="13"/>
  <c r="N23" i="4"/>
  <c r="V28" i="1"/>
  <c r="O19" i="18"/>
  <c r="O20" i="18"/>
  <c r="O21" i="18"/>
  <c r="O18" i="18"/>
  <c r="D18" i="18" a="1"/>
  <c r="V40" i="7"/>
  <c r="V31" i="1"/>
  <c r="V25" i="1"/>
  <c r="V22" i="1"/>
  <c r="C59" i="4"/>
  <c r="H23" i="13"/>
  <c r="O40" i="3"/>
  <c r="C43" i="13" s="1"/>
  <c r="C41" i="3"/>
  <c r="S27" i="10"/>
  <c r="Q28" i="10"/>
  <c r="P28" i="10"/>
  <c r="N28" i="10"/>
  <c r="O28" i="10"/>
  <c r="C18" i="18" a="1"/>
  <c r="R41" i="7"/>
  <c r="C2" i="18" s="1"/>
  <c r="R42" i="7"/>
  <c r="C3" i="18" s="1"/>
  <c r="R43" i="7"/>
  <c r="C4" i="18" s="1"/>
  <c r="R40" i="7"/>
  <c r="C1" i="18" s="1"/>
  <c r="Q10" i="13"/>
  <c r="Q11" i="13"/>
  <c r="Q12" i="13"/>
  <c r="Q13" i="13"/>
  <c r="Q14" i="13"/>
  <c r="Q15" i="13"/>
  <c r="Q16" i="13"/>
  <c r="Q17" i="13"/>
  <c r="Q18" i="13"/>
  <c r="Q19" i="13"/>
  <c r="Q20" i="13"/>
  <c r="Q21" i="13"/>
  <c r="Q22" i="13"/>
  <c r="B27" i="4"/>
  <c r="N12" i="4"/>
  <c r="N13" i="4"/>
  <c r="N14" i="4"/>
  <c r="N15" i="4"/>
  <c r="N16" i="4"/>
  <c r="N17" i="4"/>
  <c r="AJ135" i="4" s="1"/>
  <c r="N18" i="4"/>
  <c r="AJ140" i="4" s="1"/>
  <c r="AK140" i="4" s="1"/>
  <c r="N19" i="4"/>
  <c r="AJ137" i="4" s="1"/>
  <c r="AK137" i="4" s="1"/>
  <c r="N20" i="4"/>
  <c r="AJ139" i="4" s="1"/>
  <c r="AK139" i="4" s="1"/>
  <c r="N21" i="4"/>
  <c r="AJ138" i="4" s="1"/>
  <c r="AK138" i="4" s="1"/>
  <c r="N22" i="4"/>
  <c r="N24" i="4"/>
  <c r="N25" i="4"/>
  <c r="AU71" i="4"/>
  <c r="AJ25" i="4"/>
  <c r="N11" i="4"/>
  <c r="C81" i="13" l="1"/>
  <c r="AJ134" i="4"/>
  <c r="M15" i="21"/>
  <c r="AJ136" i="4"/>
  <c r="AK136" i="4" s="1"/>
  <c r="AA51" i="10"/>
  <c r="AA52" i="10"/>
  <c r="X8" i="3"/>
  <c r="C39" i="13"/>
  <c r="S31" i="10"/>
  <c r="P31" i="10"/>
  <c r="O32" i="10"/>
  <c r="P32" i="10"/>
  <c r="O31" i="10"/>
  <c r="O30" i="10"/>
  <c r="Q32" i="10"/>
  <c r="S30" i="10"/>
  <c r="P29" i="10"/>
  <c r="Q29" i="10"/>
  <c r="C5" i="18"/>
  <c r="R44" i="7"/>
  <c r="N149" i="4"/>
  <c r="N142" i="4"/>
  <c r="N128" i="4"/>
  <c r="N122" i="4"/>
  <c r="M18" i="21" l="1"/>
  <c r="AI116" i="4" a="1"/>
  <c r="N27" i="10"/>
  <c r="S28" i="10"/>
  <c r="O27" i="10" l="1"/>
  <c r="P27" i="10"/>
  <c r="S24" i="10"/>
  <c r="S17" i="10"/>
  <c r="AJ5" i="7"/>
  <c r="R5" i="7"/>
  <c r="X37" i="7"/>
  <c r="AI37" i="7"/>
  <c r="AH37" i="7"/>
  <c r="AG37" i="7"/>
  <c r="AF37" i="7"/>
  <c r="AE37" i="7"/>
  <c r="AD37" i="7"/>
  <c r="AC37" i="7"/>
  <c r="AB37" i="7"/>
  <c r="AA37" i="7"/>
  <c r="Z37" i="7"/>
  <c r="Y37" i="7"/>
  <c r="W40" i="7" s="1"/>
  <c r="AJ33" i="7"/>
  <c r="AJ32" i="7"/>
  <c r="AJ31" i="7"/>
  <c r="AJ30" i="7"/>
  <c r="AJ29" i="7"/>
  <c r="AJ28" i="7"/>
  <c r="AJ27" i="7"/>
  <c r="AJ26" i="7"/>
  <c r="AJ25" i="7"/>
  <c r="AJ24" i="7"/>
  <c r="AJ23" i="7"/>
  <c r="AJ22" i="7"/>
  <c r="AJ21" i="7"/>
  <c r="AJ20" i="7"/>
  <c r="AJ19" i="7"/>
  <c r="AJ18" i="7"/>
  <c r="AJ17" i="7"/>
  <c r="AJ16" i="7"/>
  <c r="AJ15" i="7"/>
  <c r="AJ14" i="7"/>
  <c r="AJ13" i="7"/>
  <c r="AJ12" i="7"/>
  <c r="AJ11" i="7"/>
  <c r="AJ10" i="7"/>
  <c r="AJ9" i="7"/>
  <c r="AJ8" i="7"/>
  <c r="AJ7" i="7"/>
  <c r="AJ6" i="7"/>
  <c r="AJ37" i="7" l="1"/>
  <c r="Q9" i="13"/>
  <c r="E42" i="10"/>
  <c r="V13" i="1" s="1"/>
  <c r="F42" i="10"/>
  <c r="O51" i="10" s="1"/>
  <c r="V19" i="1"/>
  <c r="N26" i="10"/>
  <c r="P26" i="10" s="1"/>
  <c r="P44" i="7"/>
  <c r="O54" i="10" l="1"/>
  <c r="P21" i="18"/>
  <c r="X13" i="3"/>
  <c r="Q27" i="10"/>
  <c r="S26" i="10"/>
  <c r="Q26" i="10"/>
  <c r="S21" i="10"/>
  <c r="S20" i="10"/>
  <c r="S19" i="10"/>
  <c r="S18" i="10"/>
  <c r="S22" i="10"/>
  <c r="S23" i="10"/>
  <c r="S25" i="10"/>
  <c r="O26" i="10"/>
  <c r="N25" i="10"/>
  <c r="O25" i="10" s="1"/>
  <c r="N24" i="10"/>
  <c r="P24" i="10" s="1"/>
  <c r="N23" i="10"/>
  <c r="Q23" i="10" s="1"/>
  <c r="N22" i="10"/>
  <c r="Q22" i="10" s="1"/>
  <c r="N21" i="10"/>
  <c r="Q21" i="10" s="1"/>
  <c r="N20" i="10"/>
  <c r="Q20" i="10" s="1"/>
  <c r="N19" i="10"/>
  <c r="Q19" i="10" s="1"/>
  <c r="N18" i="10"/>
  <c r="N17" i="10"/>
  <c r="S41" i="7"/>
  <c r="AV37" i="4"/>
  <c r="AV38" i="4"/>
  <c r="AV39" i="4"/>
  <c r="AV40" i="4"/>
  <c r="AV41" i="4"/>
  <c r="AV42" i="4"/>
  <c r="AV43" i="4"/>
  <c r="AV44" i="4"/>
  <c r="AV45" i="4"/>
  <c r="AV46" i="4"/>
  <c r="AV47" i="4"/>
  <c r="AV48" i="4"/>
  <c r="AV49" i="4"/>
  <c r="AV50" i="4"/>
  <c r="AV51" i="4"/>
  <c r="AV52" i="4"/>
  <c r="AV53" i="4"/>
  <c r="AV54" i="4"/>
  <c r="AV55" i="4"/>
  <c r="AV56" i="4"/>
  <c r="AV57" i="4"/>
  <c r="AV58" i="4"/>
  <c r="AV59" i="4"/>
  <c r="AV60" i="4"/>
  <c r="AV61" i="4"/>
  <c r="AV62" i="4"/>
  <c r="AV63" i="4"/>
  <c r="AI117" i="4" a="1"/>
  <c r="B36" i="4"/>
  <c r="B35" i="4"/>
  <c r="O33" i="3"/>
  <c r="AV9" i="4"/>
  <c r="AV10" i="4"/>
  <c r="AV11" i="4"/>
  <c r="AV12" i="4"/>
  <c r="AV13" i="4"/>
  <c r="AV14" i="4"/>
  <c r="AV15" i="4"/>
  <c r="AV16" i="4"/>
  <c r="AV17" i="4"/>
  <c r="AV18" i="4"/>
  <c r="AV20" i="4"/>
  <c r="AV21" i="4"/>
  <c r="AV22" i="4"/>
  <c r="AV24" i="4"/>
  <c r="D23" i="13"/>
  <c r="E23" i="13"/>
  <c r="F23" i="13"/>
  <c r="G23" i="13"/>
  <c r="I23" i="13"/>
  <c r="J23" i="13"/>
  <c r="K23" i="13"/>
  <c r="L23" i="13"/>
  <c r="M23" i="13"/>
  <c r="O23" i="13"/>
  <c r="P23" i="13"/>
  <c r="C23" i="13"/>
  <c r="O27" i="3"/>
  <c r="C30" i="13" s="1"/>
  <c r="P18" i="10" l="1"/>
  <c r="Q18" i="10"/>
  <c r="P17" i="10"/>
  <c r="Q17" i="10"/>
  <c r="C35" i="4"/>
  <c r="C36" i="4"/>
  <c r="D36" i="4" s="1"/>
  <c r="E36" i="4" s="1"/>
  <c r="P19" i="10"/>
  <c r="Q24" i="10"/>
  <c r="Q25" i="10"/>
  <c r="P25" i="10"/>
  <c r="P20" i="10"/>
  <c r="P21" i="10"/>
  <c r="P22" i="10"/>
  <c r="P23" i="10"/>
  <c r="S43" i="7"/>
  <c r="J35" i="4"/>
  <c r="AU117" i="4" a="1"/>
  <c r="AU116" i="4" a="1"/>
  <c r="C27" i="4"/>
  <c r="D27" i="4"/>
  <c r="E27" i="4"/>
  <c r="F27" i="4"/>
  <c r="I27" i="4"/>
  <c r="J27" i="4"/>
  <c r="K27" i="4"/>
  <c r="L27" i="4"/>
  <c r="M27" i="4"/>
  <c r="B29" i="17"/>
  <c r="H35" i="4" l="1"/>
  <c r="D35" i="4"/>
  <c r="E35" i="4" s="1"/>
  <c r="X7" i="3"/>
  <c r="O24" i="10"/>
  <c r="V16" i="1"/>
  <c r="O17" i="10"/>
  <c r="O18" i="10"/>
  <c r="O23" i="10"/>
  <c r="O21" i="10"/>
  <c r="O20" i="10"/>
  <c r="O19" i="10"/>
  <c r="O22" i="10"/>
  <c r="BT8" i="4" l="1"/>
  <c r="BT7" i="4"/>
  <c r="AU94" i="4"/>
  <c r="AU93" i="4"/>
  <c r="AV94" i="4" l="1"/>
  <c r="BU8" i="4"/>
  <c r="AJ141" i="4" l="1"/>
  <c r="BF28" i="4"/>
  <c r="AK134" i="4" l="1"/>
  <c r="BF21" i="4"/>
  <c r="J7" i="4" l="1"/>
  <c r="K7" i="4"/>
  <c r="L7" i="4"/>
  <c r="M7" i="4"/>
  <c r="I7" i="4"/>
  <c r="H7" i="4"/>
  <c r="AO72" i="4" s="1"/>
  <c r="G7" i="4"/>
  <c r="O37" i="3"/>
  <c r="C40" i="13" s="1"/>
  <c r="AS72" i="4" l="1"/>
  <c r="AP72" i="4"/>
  <c r="AN72" i="4"/>
  <c r="X11" i="3" l="1"/>
  <c r="X10" i="3"/>
  <c r="G41" i="3"/>
  <c r="R6" i="7"/>
  <c r="R7" i="7"/>
  <c r="R8" i="7"/>
  <c r="R9" i="7"/>
  <c r="R10" i="7"/>
  <c r="R11" i="7"/>
  <c r="R12" i="7"/>
  <c r="R13" i="7"/>
  <c r="R14" i="7"/>
  <c r="R15" i="7"/>
  <c r="R16" i="7"/>
  <c r="R17" i="7"/>
  <c r="R18" i="7"/>
  <c r="R19" i="7"/>
  <c r="R20" i="7"/>
  <c r="R21" i="7"/>
  <c r="R22" i="7"/>
  <c r="R23" i="7"/>
  <c r="R24" i="7"/>
  <c r="R25" i="7"/>
  <c r="R26" i="7"/>
  <c r="R27" i="7"/>
  <c r="R28" i="7"/>
  <c r="R29" i="7"/>
  <c r="R30" i="7"/>
  <c r="R31" i="7"/>
  <c r="R32" i="7"/>
  <c r="R33" i="7"/>
  <c r="N61" i="4" l="1"/>
  <c r="AK135" i="4" l="1"/>
  <c r="O34" i="3" l="1"/>
  <c r="C37" i="13" s="1"/>
  <c r="M15" i="10"/>
  <c r="S15" i="10" l="1"/>
  <c r="Q15" i="10"/>
  <c r="N59" i="4" l="1"/>
  <c r="N58" i="4"/>
  <c r="M16" i="10"/>
  <c r="N37" i="7"/>
  <c r="S16" i="10" l="1"/>
  <c r="Q16" i="10"/>
  <c r="B7" i="4"/>
  <c r="AI72" i="4" s="1"/>
  <c r="N60" i="4"/>
  <c r="R37" i="7"/>
  <c r="M14" i="10"/>
  <c r="AR72" i="4"/>
  <c r="M12" i="10"/>
  <c r="M13" i="10"/>
  <c r="M11" i="10"/>
  <c r="AQ72" i="4"/>
  <c r="O38" i="3"/>
  <c r="C41" i="13" s="1"/>
  <c r="M10" i="10"/>
  <c r="M9" i="10"/>
  <c r="M5" i="10"/>
  <c r="M6" i="10"/>
  <c r="M7" i="10"/>
  <c r="M8" i="10"/>
  <c r="AO30" i="2"/>
  <c r="AO29" i="2"/>
  <c r="AO28" i="2"/>
  <c r="AO27" i="2"/>
  <c r="AO26" i="2"/>
  <c r="AO25" i="2"/>
  <c r="AO10" i="2"/>
  <c r="AO24" i="2"/>
  <c r="AO11" i="2"/>
  <c r="AO23" i="2"/>
  <c r="AO22" i="2"/>
  <c r="AO21" i="2"/>
  <c r="AO4" i="2"/>
  <c r="AO20" i="2"/>
  <c r="AO19" i="2"/>
  <c r="AO9" i="2"/>
  <c r="AO3" i="2"/>
  <c r="AO7" i="2"/>
  <c r="AO18" i="2"/>
  <c r="AO17" i="2"/>
  <c r="AO8" i="2"/>
  <c r="AO16" i="2"/>
  <c r="AO15" i="2"/>
  <c r="AO14" i="2"/>
  <c r="AO6" i="2"/>
  <c r="AO13" i="2"/>
  <c r="AO12" i="2"/>
  <c r="AO2" i="2"/>
  <c r="S7" i="10" l="1"/>
  <c r="Q7" i="10"/>
  <c r="Q13" i="10"/>
  <c r="S13" i="10"/>
  <c r="S10" i="10"/>
  <c r="Q10" i="10"/>
  <c r="S11" i="10"/>
  <c r="Q11" i="10"/>
  <c r="Q8" i="10"/>
  <c r="S8" i="10"/>
  <c r="Q6" i="10"/>
  <c r="S6" i="10"/>
  <c r="Q12" i="10"/>
  <c r="S12" i="10"/>
  <c r="Q14" i="10"/>
  <c r="S14" i="10"/>
  <c r="Q5" i="10"/>
  <c r="N12" i="10"/>
  <c r="P12" i="10" s="1"/>
  <c r="S5" i="10"/>
  <c r="N11" i="10"/>
  <c r="P11" i="10" s="1"/>
  <c r="N13" i="10"/>
  <c r="P13" i="10" s="1"/>
  <c r="N10" i="10"/>
  <c r="P10" i="10" s="1"/>
  <c r="N16" i="10"/>
  <c r="N8" i="10"/>
  <c r="P8" i="10" s="1"/>
  <c r="N5" i="10"/>
  <c r="N14" i="10"/>
  <c r="P14" i="10" s="1"/>
  <c r="N7" i="10"/>
  <c r="P7" i="10" s="1"/>
  <c r="N9" i="10"/>
  <c r="P9" i="10" s="1"/>
  <c r="N15" i="10"/>
  <c r="N6" i="10"/>
  <c r="S9" i="10"/>
  <c r="Q9" i="10"/>
  <c r="E7" i="4"/>
  <c r="O9" i="10" l="1"/>
  <c r="AL72" i="4"/>
  <c r="O11" i="10"/>
  <c r="O10" i="10"/>
  <c r="O14" i="10"/>
  <c r="O5" i="10"/>
  <c r="P5" i="10"/>
  <c r="O13" i="10"/>
  <c r="O7" i="10"/>
  <c r="O12" i="10"/>
  <c r="P16" i="10"/>
  <c r="O16" i="10"/>
  <c r="O8" i="10"/>
  <c r="O6" i="10"/>
  <c r="P6" i="10"/>
  <c r="P15" i="10"/>
  <c r="O15" i="10"/>
  <c r="L57" i="9"/>
  <c r="H57" i="9"/>
  <c r="K56" i="9"/>
  <c r="M55" i="9"/>
  <c r="K55" i="9"/>
  <c r="I55" i="9"/>
  <c r="D55" i="9"/>
  <c r="I54" i="9"/>
  <c r="M51" i="9"/>
  <c r="K51" i="9"/>
  <c r="I51" i="9"/>
  <c r="D51" i="9"/>
  <c r="I50" i="9"/>
  <c r="M47" i="9"/>
  <c r="K47" i="9"/>
  <c r="I47" i="9"/>
  <c r="D47" i="9"/>
  <c r="I46" i="9"/>
  <c r="J57" i="9"/>
  <c r="M43" i="9"/>
  <c r="K43" i="9"/>
  <c r="I43" i="9"/>
  <c r="D43" i="9"/>
  <c r="M42" i="9"/>
  <c r="K42" i="9"/>
  <c r="I42" i="9"/>
  <c r="D42" i="9"/>
  <c r="M41" i="9"/>
  <c r="K41" i="9"/>
  <c r="I41" i="9"/>
  <c r="D41" i="9"/>
  <c r="M40" i="9"/>
  <c r="K40" i="9"/>
  <c r="I40" i="9"/>
  <c r="D40" i="9"/>
  <c r="M39" i="9"/>
  <c r="K39" i="9"/>
  <c r="I39" i="9"/>
  <c r="D39" i="9"/>
  <c r="M38" i="9"/>
  <c r="K38" i="9"/>
  <c r="I38" i="9"/>
  <c r="D38" i="9"/>
  <c r="M37" i="9"/>
  <c r="K37" i="9"/>
  <c r="I37" i="9"/>
  <c r="D37" i="9"/>
  <c r="M36" i="9"/>
  <c r="K36" i="9"/>
  <c r="I36" i="9"/>
  <c r="D36" i="9"/>
  <c r="M35" i="9"/>
  <c r="K35" i="9"/>
  <c r="I35" i="9"/>
  <c r="D35" i="9"/>
  <c r="M34" i="9"/>
  <c r="K34" i="9"/>
  <c r="I34" i="9"/>
  <c r="D34" i="9"/>
  <c r="M33" i="9"/>
  <c r="K33" i="9"/>
  <c r="I33" i="9"/>
  <c r="D33" i="9"/>
  <c r="M32" i="9"/>
  <c r="K32" i="9"/>
  <c r="I32" i="9"/>
  <c r="D32" i="9"/>
  <c r="G28" i="9"/>
  <c r="AD25" i="9"/>
  <c r="AA25" i="9"/>
  <c r="Y25" i="9"/>
  <c r="V25" i="9"/>
  <c r="Q25" i="9"/>
  <c r="O25" i="9"/>
  <c r="M25" i="9"/>
  <c r="K25" i="9"/>
  <c r="J25" i="9"/>
  <c r="F25" i="9"/>
  <c r="E55" i="9" s="1"/>
  <c r="AD24" i="9"/>
  <c r="AC24" i="9"/>
  <c r="AA24" i="9"/>
  <c r="V24" i="9"/>
  <c r="M24" i="9"/>
  <c r="K24" i="9"/>
  <c r="J24" i="9"/>
  <c r="F24" i="9"/>
  <c r="E54" i="9" s="1"/>
  <c r="AD23" i="9"/>
  <c r="AA23" i="9"/>
  <c r="Y23" i="9"/>
  <c r="V23" i="9"/>
  <c r="AD22" i="9"/>
  <c r="V22" i="9"/>
  <c r="Q22" i="9"/>
  <c r="K52" i="9"/>
  <c r="AD21" i="9"/>
  <c r="AA21" i="9"/>
  <c r="Q21" i="9"/>
  <c r="O21" i="9"/>
  <c r="M21" i="9"/>
  <c r="K21" i="9"/>
  <c r="J21" i="9"/>
  <c r="F21" i="9"/>
  <c r="E51" i="9" s="1"/>
  <c r="Y21" i="9"/>
  <c r="AD20" i="9"/>
  <c r="AA20" i="9"/>
  <c r="V20" i="9"/>
  <c r="M20" i="9"/>
  <c r="K20" i="9"/>
  <c r="J20" i="9"/>
  <c r="F20" i="9"/>
  <c r="E50" i="9" s="1"/>
  <c r="AD19" i="9"/>
  <c r="V19" i="9"/>
  <c r="AA19" i="9"/>
  <c r="AD18" i="9"/>
  <c r="K48" i="9"/>
  <c r="AD17" i="9"/>
  <c r="AA17" i="9"/>
  <c r="Q17" i="9"/>
  <c r="O17" i="9"/>
  <c r="M17" i="9"/>
  <c r="K17" i="9"/>
  <c r="J17" i="9"/>
  <c r="F17" i="9"/>
  <c r="E47" i="9" s="1"/>
  <c r="Y17" i="9"/>
  <c r="AD16" i="9"/>
  <c r="AA16" i="9"/>
  <c r="V16" i="9"/>
  <c r="M16" i="9"/>
  <c r="K16" i="9"/>
  <c r="J16" i="9"/>
  <c r="F16" i="9"/>
  <c r="E46" i="9" s="1"/>
  <c r="AD15" i="9"/>
  <c r="Y15" i="9"/>
  <c r="V15" i="9"/>
  <c r="F15" i="9"/>
  <c r="V14" i="9"/>
  <c r="AD14" i="9"/>
  <c r="Q14" i="9"/>
  <c r="AD13" i="9"/>
  <c r="AA13" i="9"/>
  <c r="Y13" i="9"/>
  <c r="V13" i="9"/>
  <c r="Q13" i="9"/>
  <c r="O13" i="9"/>
  <c r="M13" i="9"/>
  <c r="K13" i="9"/>
  <c r="J13" i="9"/>
  <c r="F13" i="9"/>
  <c r="E43" i="9" s="1"/>
  <c r="AD12" i="9"/>
  <c r="AA12" i="9"/>
  <c r="Y12" i="9"/>
  <c r="V12" i="9"/>
  <c r="Q12" i="9"/>
  <c r="O12" i="9"/>
  <c r="M12" i="9"/>
  <c r="K12" i="9"/>
  <c r="J12" i="9"/>
  <c r="F12" i="9"/>
  <c r="AD11" i="9"/>
  <c r="AA11" i="9"/>
  <c r="Y11" i="9"/>
  <c r="V11" i="9"/>
  <c r="Q11" i="9"/>
  <c r="O11" i="9"/>
  <c r="M11" i="9"/>
  <c r="K11" i="9"/>
  <c r="J11" i="9"/>
  <c r="F11" i="9"/>
  <c r="E41" i="9" s="1"/>
  <c r="AD10" i="9"/>
  <c r="AA10" i="9"/>
  <c r="Y10" i="9"/>
  <c r="V10" i="9"/>
  <c r="Q10" i="9"/>
  <c r="O10" i="9"/>
  <c r="M10" i="9"/>
  <c r="K10" i="9"/>
  <c r="J10" i="9"/>
  <c r="F10" i="9"/>
  <c r="AD9" i="9"/>
  <c r="AA9" i="9"/>
  <c r="Y9" i="9"/>
  <c r="V9" i="9"/>
  <c r="Q9" i="9"/>
  <c r="O9" i="9"/>
  <c r="M9" i="9"/>
  <c r="K9" i="9"/>
  <c r="J9" i="9"/>
  <c r="F9" i="9"/>
  <c r="E39" i="9" s="1"/>
  <c r="AD8" i="9"/>
  <c r="AA8" i="9"/>
  <c r="Y8" i="9"/>
  <c r="V8" i="9"/>
  <c r="Q8" i="9"/>
  <c r="O8" i="9"/>
  <c r="M8" i="9"/>
  <c r="K8" i="9"/>
  <c r="J8" i="9"/>
  <c r="F8" i="9"/>
  <c r="AD7" i="9"/>
  <c r="AA7" i="9"/>
  <c r="Y7" i="9"/>
  <c r="V7" i="9"/>
  <c r="Q7" i="9"/>
  <c r="O7" i="9"/>
  <c r="M7" i="9"/>
  <c r="K7" i="9"/>
  <c r="J7" i="9"/>
  <c r="F7" i="9"/>
  <c r="E37" i="9" s="1"/>
  <c r="AD6" i="9"/>
  <c r="AA6" i="9"/>
  <c r="Y6" i="9"/>
  <c r="V6" i="9"/>
  <c r="Q6" i="9"/>
  <c r="O6" i="9"/>
  <c r="M6" i="9"/>
  <c r="K6" i="9"/>
  <c r="J6" i="9"/>
  <c r="F6" i="9"/>
  <c r="AD5" i="9"/>
  <c r="AA5" i="9"/>
  <c r="Y5" i="9"/>
  <c r="V5" i="9"/>
  <c r="Q5" i="9"/>
  <c r="O5" i="9"/>
  <c r="M5" i="9"/>
  <c r="K5" i="9"/>
  <c r="J5" i="9"/>
  <c r="F5" i="9"/>
  <c r="E35" i="9" s="1"/>
  <c r="AD4" i="9"/>
  <c r="AA4" i="9"/>
  <c r="Y4" i="9"/>
  <c r="V4" i="9"/>
  <c r="Q4" i="9"/>
  <c r="O4" i="9"/>
  <c r="M4" i="9"/>
  <c r="K4" i="9"/>
  <c r="J4" i="9"/>
  <c r="F4" i="9"/>
  <c r="F3" i="9"/>
  <c r="E33" i="9" s="1"/>
  <c r="F2" i="9"/>
  <c r="E32" i="9" s="1"/>
  <c r="X12" i="3" l="1"/>
  <c r="AB17" i="9"/>
  <c r="AC20" i="9"/>
  <c r="AC17" i="9"/>
  <c r="AB20" i="9"/>
  <c r="AB24" i="9"/>
  <c r="AB21" i="9"/>
  <c r="AC21" i="9"/>
  <c r="AB25" i="9"/>
  <c r="AC25" i="9"/>
  <c r="AB7" i="9"/>
  <c r="AB5" i="9"/>
  <c r="AB11" i="9"/>
  <c r="AC5" i="9"/>
  <c r="AC11" i="9"/>
  <c r="AB9" i="9"/>
  <c r="AC7" i="9"/>
  <c r="AB13" i="9"/>
  <c r="AC13" i="9"/>
  <c r="AB16" i="9"/>
  <c r="AC9" i="9"/>
  <c r="AC16" i="9"/>
  <c r="F44" i="9"/>
  <c r="E34" i="9"/>
  <c r="AC4" i="9"/>
  <c r="AB4" i="9"/>
  <c r="E42" i="9"/>
  <c r="AB12" i="9"/>
  <c r="AC12" i="9"/>
  <c r="AA15" i="9"/>
  <c r="F19" i="9"/>
  <c r="F53" i="9"/>
  <c r="F49" i="9"/>
  <c r="F45" i="9"/>
  <c r="M44" i="9"/>
  <c r="D44" i="9"/>
  <c r="O14" i="9"/>
  <c r="F54" i="9"/>
  <c r="F50" i="9"/>
  <c r="F46" i="9"/>
  <c r="M14" i="9"/>
  <c r="K14" i="9"/>
  <c r="F55" i="9"/>
  <c r="F51" i="9"/>
  <c r="F47" i="9"/>
  <c r="J14" i="9"/>
  <c r="I44" i="9"/>
  <c r="F14" i="9"/>
  <c r="F52" i="9"/>
  <c r="F48" i="9"/>
  <c r="D48" i="9"/>
  <c r="M48" i="9"/>
  <c r="O18" i="9"/>
  <c r="M18" i="9"/>
  <c r="K18" i="9"/>
  <c r="I48" i="9"/>
  <c r="J18" i="9"/>
  <c r="F18" i="9"/>
  <c r="Y19" i="9"/>
  <c r="K53" i="9"/>
  <c r="E40" i="9"/>
  <c r="AC10" i="9"/>
  <c r="AB10" i="9"/>
  <c r="Q18" i="9"/>
  <c r="F23" i="9"/>
  <c r="E45" i="9"/>
  <c r="AC15" i="9"/>
  <c r="AB15" i="9"/>
  <c r="E36" i="9"/>
  <c r="AB6" i="9"/>
  <c r="AC6" i="9"/>
  <c r="K49" i="9"/>
  <c r="E38" i="9"/>
  <c r="AC8" i="9"/>
  <c r="AB8" i="9"/>
  <c r="K45" i="9"/>
  <c r="V18" i="9"/>
  <c r="D52" i="9"/>
  <c r="M52" i="9"/>
  <c r="O22" i="9"/>
  <c r="M22" i="9"/>
  <c r="K22" i="9"/>
  <c r="I52" i="9"/>
  <c r="J22" i="9"/>
  <c r="F22" i="9"/>
  <c r="F57" i="9"/>
  <c r="Y14" i="9"/>
  <c r="J15" i="9"/>
  <c r="J19" i="9"/>
  <c r="Y22" i="9"/>
  <c r="K50" i="9"/>
  <c r="I53" i="9"/>
  <c r="K54" i="9"/>
  <c r="AA14" i="9"/>
  <c r="K15" i="9"/>
  <c r="O16" i="9"/>
  <c r="V17" i="9"/>
  <c r="AA18" i="9"/>
  <c r="K19" i="9"/>
  <c r="O20" i="9"/>
  <c r="V21" i="9"/>
  <c r="AA22" i="9"/>
  <c r="K23" i="9"/>
  <c r="O24" i="9"/>
  <c r="M46" i="9"/>
  <c r="M50" i="9"/>
  <c r="M54" i="9"/>
  <c r="I45" i="9"/>
  <c r="K46" i="9"/>
  <c r="I49" i="9"/>
  <c r="M15" i="9"/>
  <c r="Q16" i="9"/>
  <c r="M19" i="9"/>
  <c r="Q20" i="9"/>
  <c r="M23" i="9"/>
  <c r="Q24" i="9"/>
  <c r="D46" i="9"/>
  <c r="D50" i="9"/>
  <c r="D54" i="9"/>
  <c r="Y18" i="9"/>
  <c r="J23" i="9"/>
  <c r="O15" i="9"/>
  <c r="O19" i="9"/>
  <c r="O23" i="9"/>
  <c r="M45" i="9"/>
  <c r="M49" i="9"/>
  <c r="M53" i="9"/>
  <c r="Q15" i="9"/>
  <c r="Y16" i="9"/>
  <c r="Q19" i="9"/>
  <c r="Y20" i="9"/>
  <c r="Q23" i="9"/>
  <c r="Y24" i="9"/>
  <c r="D45" i="9"/>
  <c r="D49" i="9"/>
  <c r="D53" i="9"/>
  <c r="I58" i="9" l="1"/>
  <c r="I57" i="9"/>
  <c r="F58" i="9"/>
  <c r="M57" i="9"/>
  <c r="Q28" i="9"/>
  <c r="D58" i="9"/>
  <c r="O28" i="9"/>
  <c r="D57" i="9"/>
  <c r="K28" i="9"/>
  <c r="M28" i="9"/>
  <c r="AC22" i="9"/>
  <c r="AB22" i="9"/>
  <c r="E52" i="9"/>
  <c r="E44" i="9"/>
  <c r="K44" i="9"/>
  <c r="AC14" i="9"/>
  <c r="AB14" i="9"/>
  <c r="AC18" i="9"/>
  <c r="AB18" i="9"/>
  <c r="E48" i="9"/>
  <c r="E53" i="9"/>
  <c r="AB23" i="9"/>
  <c r="AC23" i="9"/>
  <c r="G56" i="9"/>
  <c r="G58" i="9"/>
  <c r="G54" i="9"/>
  <c r="G50" i="9"/>
  <c r="G46" i="9"/>
  <c r="V28" i="9"/>
  <c r="E58" i="9"/>
  <c r="G57" i="9"/>
  <c r="G55" i="9"/>
  <c r="G51" i="9"/>
  <c r="G47" i="9"/>
  <c r="G44" i="9"/>
  <c r="G49" i="9"/>
  <c r="E57" i="9"/>
  <c r="G52" i="9"/>
  <c r="G48" i="9"/>
  <c r="G53" i="9"/>
  <c r="G45" i="9"/>
  <c r="E49" i="9"/>
  <c r="AC19" i="9"/>
  <c r="AB19" i="9"/>
  <c r="K57" i="9" l="1"/>
  <c r="K58" i="9"/>
  <c r="Q37" i="7" l="1"/>
  <c r="P37" i="7"/>
  <c r="O37" i="7"/>
  <c r="M37" i="7"/>
  <c r="L37" i="7"/>
  <c r="K37" i="7"/>
  <c r="J37" i="7"/>
  <c r="I37" i="7"/>
  <c r="H37" i="7"/>
  <c r="G37" i="7"/>
  <c r="F37" i="7"/>
  <c r="AI120" i="4"/>
  <c r="O28" i="3"/>
  <c r="C31" i="13" s="1"/>
  <c r="O29" i="3"/>
  <c r="O30" i="3"/>
  <c r="O31" i="3"/>
  <c r="C34" i="13" s="1"/>
  <c r="O32" i="3"/>
  <c r="C36" i="13"/>
  <c r="O35" i="3"/>
  <c r="C38" i="13" s="1"/>
  <c r="D7" i="4"/>
  <c r="R5" i="2"/>
  <c r="AH14" i="2"/>
  <c r="R6" i="2"/>
  <c r="AH6" i="2"/>
  <c r="R7" i="2"/>
  <c r="AH17" i="2"/>
  <c r="R8" i="2"/>
  <c r="AH8" i="2"/>
  <c r="R9" i="2"/>
  <c r="AH22" i="2"/>
  <c r="R10" i="2"/>
  <c r="AH7" i="2"/>
  <c r="R11" i="2"/>
  <c r="AH13" i="2"/>
  <c r="R12" i="2"/>
  <c r="AH11" i="2"/>
  <c r="R13" i="2"/>
  <c r="AH21" i="2"/>
  <c r="R14" i="2"/>
  <c r="AH20" i="2"/>
  <c r="R15" i="2"/>
  <c r="AH10" i="2"/>
  <c r="R16" i="2"/>
  <c r="AH16" i="2"/>
  <c r="R17" i="2"/>
  <c r="AH12" i="2"/>
  <c r="R18" i="2"/>
  <c r="AH18" i="2"/>
  <c r="R19" i="2"/>
  <c r="AH19" i="2"/>
  <c r="R20" i="2"/>
  <c r="AH5" i="2"/>
  <c r="AO5" i="2" s="1"/>
  <c r="R21" i="2"/>
  <c r="AH9" i="2"/>
  <c r="R22" i="2"/>
  <c r="AH15" i="2"/>
  <c r="R23" i="2"/>
  <c r="AH23" i="2"/>
  <c r="R24" i="2"/>
  <c r="AH24" i="2"/>
  <c r="R25" i="2"/>
  <c r="AH25" i="2"/>
  <c r="R26" i="2"/>
  <c r="AH26" i="2"/>
  <c r="R27" i="2"/>
  <c r="AH27" i="2"/>
  <c r="R28" i="2"/>
  <c r="AH28" i="2"/>
  <c r="R29" i="2"/>
  <c r="AH29" i="2"/>
  <c r="R30" i="2"/>
  <c r="AH30" i="2"/>
  <c r="R31" i="2"/>
  <c r="AH31" i="2"/>
  <c r="R32" i="2"/>
  <c r="AH32" i="2"/>
  <c r="R33" i="2"/>
  <c r="AH33" i="2"/>
  <c r="V35" i="2"/>
  <c r="W35" i="2"/>
  <c r="X35" i="2"/>
  <c r="Y35" i="2"/>
  <c r="Z35" i="2"/>
  <c r="AA35" i="2"/>
  <c r="AB35" i="2"/>
  <c r="AC35" i="2"/>
  <c r="AD35" i="2"/>
  <c r="AE35" i="2"/>
  <c r="AF35" i="2"/>
  <c r="AF38" i="2" s="1"/>
  <c r="AG35" i="2"/>
  <c r="F37" i="2"/>
  <c r="G37" i="2"/>
  <c r="H37" i="2"/>
  <c r="I37" i="2"/>
  <c r="J37" i="2"/>
  <c r="K37" i="2"/>
  <c r="L37" i="2"/>
  <c r="M37" i="2"/>
  <c r="N37" i="2"/>
  <c r="O37" i="2"/>
  <c r="P37" i="2"/>
  <c r="Q37" i="2"/>
  <c r="V37" i="2"/>
  <c r="V38" i="2" s="1"/>
  <c r="W37" i="2"/>
  <c r="W38" i="2" s="1"/>
  <c r="X37" i="2"/>
  <c r="X38" i="2" s="1"/>
  <c r="Y37" i="2"/>
  <c r="Y38" i="2" s="1"/>
  <c r="Z37" i="2"/>
  <c r="Z38" i="2" s="1"/>
  <c r="AA37" i="2"/>
  <c r="AA38" i="2" s="1"/>
  <c r="AB37" i="2"/>
  <c r="AB38" i="2" s="1"/>
  <c r="AC37" i="2"/>
  <c r="AC38" i="2" s="1"/>
  <c r="AD37" i="2"/>
  <c r="AD38" i="2" s="1"/>
  <c r="AE37" i="2"/>
  <c r="AE38" i="2" s="1"/>
  <c r="AF37" i="2"/>
  <c r="AG37" i="2"/>
  <c r="AG38" i="2" s="1"/>
  <c r="O41" i="3" l="1"/>
  <c r="C33" i="13"/>
  <c r="C35" i="13"/>
  <c r="C32" i="13"/>
  <c r="AK72" i="4"/>
  <c r="AI46" i="7"/>
  <c r="C7" i="4"/>
  <c r="F7" i="4"/>
  <c r="AY66" i="4"/>
  <c r="AW26" i="4"/>
  <c r="AI38" i="2"/>
  <c r="AY65" i="4"/>
  <c r="AH37" i="2"/>
  <c r="R37" i="2"/>
  <c r="N7" i="4" l="1"/>
  <c r="C44" i="13"/>
  <c r="B30" i="17"/>
  <c r="C29" i="17" s="1"/>
  <c r="AM72" i="4"/>
  <c r="AU72" i="4" s="1"/>
  <c r="AV72" i="4" s="1"/>
  <c r="Q4" i="4" l="1"/>
  <c r="AJ132" i="4" s="1"/>
  <c r="AK141" i="4" s="1"/>
  <c r="M9" i="21"/>
  <c r="M17" i="21" s="1"/>
  <c r="C8" i="17"/>
  <c r="C7" i="17"/>
  <c r="C19" i="17"/>
  <c r="C14" i="17"/>
  <c r="C9" i="17"/>
  <c r="C24" i="17"/>
  <c r="C10" i="17"/>
  <c r="C27" i="17"/>
  <c r="C20" i="17"/>
  <c r="C6" i="17"/>
  <c r="C15" i="17"/>
  <c r="C23" i="17"/>
  <c r="C17" i="17"/>
  <c r="C5" i="17"/>
  <c r="C13" i="17"/>
  <c r="C22" i="17"/>
  <c r="C11" i="17"/>
  <c r="C18" i="17"/>
  <c r="B31" i="17"/>
  <c r="C4" i="17"/>
  <c r="C26" i="17"/>
  <c r="C12" i="17"/>
  <c r="C25" i="17"/>
  <c r="C21" i="17"/>
  <c r="C16" i="17"/>
  <c r="AK132" i="4"/>
  <c r="O29" i="10" l="1"/>
  <c r="B6" i="4" a="1"/>
  <c r="N6" i="4" s="1"/>
  <c r="Q9"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Chad Kelly</author>
  </authors>
  <commentList>
    <comment ref="J7" authorId="0" shapeId="0" xr:uid="{373D71D4-A0F3-4924-BE40-8D46553CE186}">
      <text>
        <r>
          <rPr>
            <b/>
            <sz val="9"/>
            <color indexed="81"/>
            <rFont val="Tahoma"/>
            <charset val="1"/>
          </rPr>
          <t>LCY-2026-066 Near Miss: While making a batch of silicon tetrachloride, an employee noticed the cylinder was not emptying as expected. Troubleshooting identified a malfunctioning cylinder valve that was not operating properly.</t>
        </r>
      </text>
    </comment>
    <comment ref="K7" authorId="0" shapeId="0" xr:uid="{5A8DCE5E-3F22-4AB2-981A-B7E33874D002}">
      <text>
        <r>
          <rPr>
            <b/>
            <sz val="9"/>
            <color indexed="81"/>
            <rFont val="Tahoma"/>
            <family val="2"/>
          </rPr>
          <t xml:space="preserve">LCY-2026-067 Near Miss: </t>
        </r>
        <r>
          <rPr>
            <sz val="9"/>
            <color indexed="81"/>
            <rFont val="Tahoma"/>
            <charset val="1"/>
          </rPr>
          <t xml:space="preserve">While preparing DMDCS, Operations observed that the totalizer began registering flow immediately after the DMDCS cylinder was charged and before the solvent addition had started. Upon investigation, it was determined that the topworks on HV-10340 had been installed incorrectly, allowing flow to be registered prematurely. The Operator identified the condition before additional material was charged.
</t>
        </r>
      </text>
    </comment>
    <comment ref="H8" authorId="0" shapeId="0" xr:uid="{57684ACF-5E7A-4120-9534-9161C8469B9D}">
      <text>
        <r>
          <rPr>
            <b/>
            <sz val="9"/>
            <color indexed="81"/>
            <rFont val="Tahoma"/>
            <family val="2"/>
          </rPr>
          <t xml:space="preserve"> LCY-2026-048 Near-Miss:</t>
        </r>
        <r>
          <rPr>
            <sz val="9"/>
            <color indexed="81"/>
            <rFont val="Tahoma"/>
            <family val="2"/>
          </rPr>
          <t xml:space="preserve"> While conducting routine rounds, an employee detected the odor of butadiene and reported it to another operator. Using a MiniRAE 3000 LEL monitor, they identified a minor leak at the volute gasket of Pump P-7213B. Loose bolts were tightened to stop the leak, the pump was returned to service, and the area will continue to be monitored for any recurrence.
</t>
        </r>
      </text>
    </comment>
    <comment ref="F10" authorId="0" shapeId="0" xr:uid="{BE435E93-70C6-4A2D-A987-1A0B74068DF5}">
      <text>
        <r>
          <rPr>
            <b/>
            <sz val="9"/>
            <color indexed="81"/>
            <rFont val="Tahoma"/>
            <family val="2"/>
          </rPr>
          <t xml:space="preserve">LCY-2026-034 Near-Miss: </t>
        </r>
        <r>
          <rPr>
            <sz val="9"/>
            <color indexed="81"/>
            <rFont val="Tahoma"/>
            <family val="2"/>
          </rPr>
          <t xml:space="preserve">This near miss originated from safety observation 2026-0093, which identified an unsafe condition. The grating on top of the blend tanks was found to be loose and prone to shifting under foot traffic, creating a credible tripping hazard and posing a risk of injury to personnel in the affected area.
</t>
        </r>
      </text>
    </comment>
    <comment ref="H10" authorId="0" shapeId="0" xr:uid="{5FC8EB0F-1377-4BBB-A54B-FA9ADDFA0A9D}">
      <text>
        <r>
          <rPr>
            <b/>
            <sz val="9"/>
            <color indexed="81"/>
            <rFont val="Tahoma"/>
            <family val="2"/>
          </rPr>
          <t>LCY-2026-043 Near Miss:</t>
        </r>
        <r>
          <rPr>
            <sz val="9"/>
            <color indexed="81"/>
            <rFont val="Tahoma"/>
            <family val="2"/>
          </rPr>
          <t xml:space="preserve"> After completing a campaign change and re-establishing normal operating conditions, it was discovered that the differential pressure control valve (40221) for the blend tank vent system to the flare had been left in manual mode and in the closed position, preventing the blend tanks from properly venting during normal operations.
</t>
        </r>
      </text>
    </comment>
    <comment ref="C11" authorId="0" shapeId="0" xr:uid="{8142B0F3-129D-42B1-AF13-7C8D423EA369}">
      <text>
        <r>
          <rPr>
            <sz val="9"/>
            <color indexed="81"/>
            <rFont val="Tahoma"/>
            <family val="2"/>
          </rPr>
          <t xml:space="preserve">1/13/2026 - A contractor received authorization to open and blind the V-7511 Solvent Decanter but was incorrectly directed to sign onto the E-7511 lockbox. The operator identified the error and reassigned the contractors to the correct V-7511 lockbox.
</t>
        </r>
      </text>
    </comment>
    <comment ref="F12" authorId="0" shapeId="0" xr:uid="{27537C5B-34DF-4BAC-A2DA-D2C68A428131}">
      <text>
        <r>
          <rPr>
            <b/>
            <sz val="9"/>
            <color indexed="81"/>
            <rFont val="Tahoma"/>
            <family val="2"/>
          </rPr>
          <t>LCY-2026-022 Near-Miss:</t>
        </r>
        <r>
          <rPr>
            <sz val="9"/>
            <color indexed="81"/>
            <rFont val="Tahoma"/>
            <family val="2"/>
          </rPr>
          <t xml:space="preserve"> While conducting rounds in the utility area, the employee discovered that a wooden 2x4 used to support tubing was resting against a hot steam line, creating a potential fire hazard.
</t>
        </r>
        <r>
          <rPr>
            <b/>
            <sz val="9"/>
            <color indexed="81"/>
            <rFont val="Tahoma"/>
            <family val="2"/>
          </rPr>
          <t xml:space="preserve">LCY-2026-029 Near-Miss: </t>
        </r>
        <r>
          <rPr>
            <sz val="9"/>
            <color indexed="81"/>
            <rFont val="Tahoma"/>
            <family val="2"/>
          </rPr>
          <t xml:space="preserve">This near miss was identified through safety observation 2026-078. The ramp/walkway from the road to the GCC was found to lack handrails, resulting in an unprotected walking surface. While the elevation is less than 4 feet, the condition introduces a slip, trip, and fall risk, especially during the handling and staging of compressed gas cylinders.
</t>
        </r>
        <r>
          <rPr>
            <b/>
            <sz val="9"/>
            <color indexed="81"/>
            <rFont val="Tahoma"/>
            <family val="2"/>
          </rPr>
          <t xml:space="preserve">LCY-2026-032 Near-Miss: </t>
        </r>
        <r>
          <rPr>
            <sz val="9"/>
            <color indexed="81"/>
            <rFont val="Tahoma"/>
            <family val="2"/>
          </rPr>
          <t>This near miss originated from an unsafe condition identified in safety observation 2026-0089. Six totes of chemicals labeled as marine pollutants were staged outside of secondary containment near a stormwater accumulation ditch. This condition presents a risk of hazardous material entering waterways in the event of a leak or release.</t>
        </r>
      </text>
    </comment>
    <comment ref="G12" authorId="0" shapeId="0" xr:uid="{BCCE3234-DA2C-478E-B4AB-89A8DF15A60D}">
      <text>
        <r>
          <rPr>
            <b/>
            <sz val="9"/>
            <color indexed="81"/>
            <rFont val="Tahoma"/>
            <charset val="1"/>
          </rPr>
          <t xml:space="preserve">LCY-2026-035 Near Miss: </t>
        </r>
        <r>
          <rPr>
            <sz val="9"/>
            <color indexed="81"/>
            <rFont val="Tahoma"/>
            <family val="2"/>
          </rPr>
          <t>During routine rounds, an employee identified that the Cogen sight glass was cracked and spraying hot water. The employee isolated the sight glass to stop the release, and a work request was submitted to have the damaged sight glass replaced.</t>
        </r>
      </text>
    </comment>
    <comment ref="I12" authorId="0" shapeId="0" xr:uid="{88B2B14F-A526-4E2F-876B-A2188534FBAC}">
      <text>
        <r>
          <rPr>
            <b/>
            <sz val="9"/>
            <color indexed="81"/>
            <rFont val="Tahoma"/>
            <family val="2"/>
          </rPr>
          <t xml:space="preserve">LCY-2026-049 Near Miss: </t>
        </r>
        <r>
          <rPr>
            <sz val="9"/>
            <color indexed="81"/>
            <rFont val="Tahoma"/>
            <charset val="1"/>
          </rPr>
          <t xml:space="preserve">An employee slipped on a wet walking surface caused by a continuous underground water leak that has resulted in algae growth, creating a potential slip hazard. The employee was able to regain his balance and prevent a fall, and no injury was sustained. The employee promptly notified the day shift supervisor to report the near miss and the hazardous condition.
</t>
        </r>
      </text>
    </comment>
    <comment ref="J12" authorId="0" shapeId="0" xr:uid="{8757F49B-2722-4D6A-90B5-6393AAEB5AE3}">
      <text>
        <r>
          <rPr>
            <sz val="9"/>
            <color indexed="81"/>
            <rFont val="Tahoma"/>
            <charset val="1"/>
          </rPr>
          <t xml:space="preserve">LCY-2026-060 Near Miss: An employee identified a slight leak from the relief valve on a TMCS cylinder. In response, the employee prepared a batch of TMCS to safely empty the affected cylinder and eliminate the remaining material inventor
LCY-2026-062 Near Miss: An employee identified a leak from a welded nipple connection on the top of a DMDCS cylinder. The affected cylinder was immediately tagged to identify the condition and prevent unintended use. The DMDCS cylinder was subsequently de-inventoried on August 15, 2026, removing the remaining material from the affected cylinder.
</t>
        </r>
      </text>
    </comment>
    <comment ref="F13" authorId="0" shapeId="0" xr:uid="{5A88D341-7F56-4090-BAF2-23B7D8E32B66}">
      <text>
        <r>
          <rPr>
            <b/>
            <sz val="9"/>
            <color indexed="81"/>
            <rFont val="Tahoma"/>
            <family val="2"/>
          </rPr>
          <t>LCY-2026-028 Near Miss:</t>
        </r>
        <r>
          <rPr>
            <sz val="9"/>
            <color indexed="81"/>
            <rFont val="Tahoma"/>
            <charset val="1"/>
          </rPr>
          <t xml:space="preserve"> This near miss originated from a safety observation submission (2026-0063). An employee identified a missing guard on FR-7723, leaving mechanical components unguarded and potentially exposing personnel to rotating or moving equipment.
</t>
        </r>
        <r>
          <rPr>
            <b/>
            <sz val="9"/>
            <color indexed="81"/>
            <rFont val="Tahoma"/>
            <family val="2"/>
          </rPr>
          <t>LCY-2026-30 Near Miss:</t>
        </r>
        <r>
          <rPr>
            <sz val="9"/>
            <color indexed="81"/>
            <rFont val="Tahoma"/>
            <charset val="1"/>
          </rPr>
          <t xml:space="preserve"> This near miss originated from an unsafe condition identified in safety observation 2026-0072. A light fixture located between Silo 0 and the north wall was found hanging by a single wire. If not addressed in a timely manner, the wire could corrode and weaken, potentially causing the fixture to fall and strike an employee, resulting in serious head or neck injury.
</t>
        </r>
        <r>
          <rPr>
            <b/>
            <sz val="9"/>
            <color indexed="81"/>
            <rFont val="Tahoma"/>
            <family val="2"/>
          </rPr>
          <t xml:space="preserve">LCY-2026-033 Near-Miss: </t>
        </r>
        <r>
          <rPr>
            <sz val="9"/>
            <color indexed="81"/>
            <rFont val="Tahoma"/>
            <charset val="1"/>
          </rPr>
          <t xml:space="preserve">This near miss originated from safety observation 2026-0093, which identified an unsafe condition. The affected area has developed a thin layer of algae that cannot be effectively removed using standard warehouse utility hoses. This condition presents a slip, trip, and fall hazard, posing a risk of injury to personnel in the area.
</t>
        </r>
      </text>
    </comment>
    <comment ref="J13" authorId="0" shapeId="0" xr:uid="{57582BF2-7D2C-4032-8E56-C9ABAA6DC8CC}">
      <text>
        <r>
          <rPr>
            <b/>
            <sz val="9"/>
            <color indexed="81"/>
            <rFont val="Tahoma"/>
            <charset val="1"/>
          </rPr>
          <t>LCY-2026-061 Near Miss: An employee identified a hot spot on the Line 1 dryer motor during routine operations. The condition was reported to I&amp;E personnel for evaluation. Following inspection, the Line 1 dryer was shut down to allow for further troubleshooting and evaluation of the motor condition.
LCY-2026-065 Near Miss: A hot spot was identified inside the Line 1 dryer motor, prompting the shift supervisor to shut down the line for I&amp;E troubleshooting and repairs. The line was restarted after repairs but was shut down again when the hot spot reappeared. Following a second repair attempt, the line was restarted and the motor was inspected with no further hot spot observed. The motor will continue to be closely monitored.</t>
        </r>
      </text>
    </comment>
    <comment ref="K14" authorId="0" shapeId="0" xr:uid="{4D5DFBC3-4694-474B-A475-F1E8396D8DAF}">
      <text>
        <r>
          <rPr>
            <b/>
            <sz val="9"/>
            <color indexed="81"/>
            <rFont val="Tahoma"/>
            <family val="2"/>
          </rPr>
          <t xml:space="preserve">LCY-2026-071 Near Miss: </t>
        </r>
        <r>
          <rPr>
            <sz val="9"/>
            <color indexed="81"/>
            <rFont val="Tahoma"/>
            <family val="2"/>
          </rPr>
          <t>An employee observed broken glass on the ground and determined that it had originated from the overhead light fixture. The employee did not witness the fixture breaking or the event that caused the glass to fall.</t>
        </r>
      </text>
    </comment>
    <comment ref="H16" authorId="0" shapeId="0" xr:uid="{416A550D-C33B-4992-AFCA-8A09F9CE742B}">
      <text>
        <r>
          <rPr>
            <b/>
            <sz val="10"/>
            <color indexed="81"/>
            <rFont val="Tahoma"/>
            <family val="2"/>
          </rPr>
          <t>LCY-2026-042 Near Miss:</t>
        </r>
        <r>
          <rPr>
            <sz val="10"/>
            <color indexed="81"/>
            <rFont val="Tahoma"/>
            <family val="2"/>
          </rPr>
          <t xml:space="preserve"> Employee returning to the product warehouse discovered that box pallets had collapsed near the conveyor.</t>
        </r>
        <r>
          <rPr>
            <sz val="9"/>
            <color indexed="81"/>
            <rFont val="Tahoma"/>
            <family val="2"/>
          </rPr>
          <t xml:space="preserve">
</t>
        </r>
      </text>
    </comment>
    <comment ref="H18" authorId="0" shapeId="0" xr:uid="{1841737D-63A0-4FB7-B271-EDE20649A5E6}">
      <text>
        <r>
          <rPr>
            <b/>
            <sz val="10"/>
            <color indexed="81"/>
            <rFont val="Tahoma"/>
            <family val="2"/>
          </rPr>
          <t xml:space="preserve">LCY-2026-047 Near Miss: </t>
        </r>
        <r>
          <rPr>
            <sz val="10"/>
            <color indexed="81"/>
            <rFont val="Tahoma"/>
            <family val="2"/>
          </rPr>
          <t>At approximately 11:30 a.m. on June 24, 2026, during routine sample analysis using the PerkinElmer PinAAcle 500 Atomic Absorption spectrophotometer, a flashback occurred within the instrument's burner system. No injuries were reported. The instrument was removed from service pending inspection and investigation.</t>
        </r>
        <r>
          <rPr>
            <sz val="9"/>
            <color indexed="81"/>
            <rFont val="Tahoma"/>
            <family val="2"/>
          </rPr>
          <t xml:space="preserve">
</t>
        </r>
      </text>
    </comment>
    <comment ref="F19" authorId="0" shapeId="0" xr:uid="{E0AF58A2-24E4-4157-8B10-8EFBDF1C3C55}">
      <text>
        <r>
          <rPr>
            <b/>
            <sz val="9"/>
            <color indexed="81"/>
            <rFont val="Tahoma"/>
            <family val="2"/>
          </rPr>
          <t>LCY-2026-027 Near Miss</t>
        </r>
        <r>
          <rPr>
            <sz val="9"/>
            <color indexed="81"/>
            <rFont val="Tahoma"/>
            <family val="2"/>
          </rPr>
          <t xml:space="preserve">: A product sack tipped off the stretch wrap machine after being placed by the forklift operator. The sack was damaged and required rework through the scrap recovery process.
</t>
        </r>
        <r>
          <rPr>
            <b/>
            <sz val="9"/>
            <color indexed="81"/>
            <rFont val="Tahoma"/>
            <family val="2"/>
          </rPr>
          <t>LCY-2026-026 Near Miss:</t>
        </r>
        <r>
          <rPr>
            <sz val="9"/>
            <color indexed="81"/>
            <rFont val="Tahoma"/>
            <family val="2"/>
          </rPr>
          <t xml:space="preserve"> The photo eye sensor on the Silo 2 conveyor failed to detect and stop an incoming pallet, causing the sack to roll off the conveyor. No injuries or damage to the product occurred as a result of this event.
</t>
        </r>
        <r>
          <rPr>
            <b/>
            <sz val="9"/>
            <color indexed="81"/>
            <rFont val="Tahoma"/>
            <family val="2"/>
          </rPr>
          <t>LCY-2026-2025 Near Miss:</t>
        </r>
        <r>
          <rPr>
            <sz val="9"/>
            <color indexed="81"/>
            <rFont val="Tahoma"/>
            <family val="2"/>
          </rPr>
          <t xml:space="preserve"> While changing out the open vent hopper on the Line 1 Dryer, it was identified that the stainless steel/brass nipple fitting on the cooling water supply to the dryer cage had been damaged. The fitting was promptly replaced to prevent any adverse process conditions.</t>
        </r>
      </text>
    </comment>
    <comment ref="G19" authorId="0" shapeId="0" xr:uid="{9D7B3988-4D19-471C-88A2-0E0CFBF92192}">
      <text>
        <r>
          <rPr>
            <b/>
            <sz val="9"/>
            <color indexed="81"/>
            <rFont val="Tahoma"/>
            <family val="2"/>
          </rPr>
          <t>LCY-2026-038 Near Miss</t>
        </r>
        <r>
          <rPr>
            <sz val="9"/>
            <color indexed="81"/>
            <rFont val="Tahoma"/>
            <family val="2"/>
          </rPr>
          <t xml:space="preserve">: Employee observed smoke coming from the north AC unit in the Mundy break room and immediately unplugged the unit. The equipment was tagged out of service, and Work Request #37280 was submitted for repair/replacement.
</t>
        </r>
      </text>
    </comment>
    <comment ref="I19" authorId="0" shapeId="0" xr:uid="{96A0651E-3E3D-4D0B-9773-466B765C14F7}">
      <text>
        <r>
          <rPr>
            <b/>
            <sz val="9"/>
            <color indexed="81"/>
            <rFont val="Tahoma"/>
            <family val="2"/>
          </rPr>
          <t>LCY-2026-055 Near Miss:</t>
        </r>
        <r>
          <rPr>
            <sz val="9"/>
            <color indexed="81"/>
            <rFont val="Tahoma"/>
            <family val="2"/>
          </rPr>
          <t xml:space="preserve"> A grinder operator experienced symptoms consistent with heat stress while clearing a plugged hurricane filter on the bagger. After resting in a cool area and rehydrating for approximately 30–40 minutes, the employee's condition improved but remained too fatigued to safely complete the shift and was released to recover.
</t>
        </r>
        <r>
          <rPr>
            <b/>
            <sz val="9"/>
            <color indexed="81"/>
            <rFont val="Tahoma"/>
            <family val="2"/>
          </rPr>
          <t>LCY-2026-057 Near Miss:</t>
        </r>
        <r>
          <rPr>
            <sz val="9"/>
            <color indexed="81"/>
            <rFont val="Tahoma"/>
            <family val="2"/>
          </rPr>
          <t xml:space="preserve"> While conducting routine housekeeping in the 700 Finishing Area, specifically adjacent to the maintenance parts cage, a damaged storage rack was identified. One of the rack's vertical support legs was bent, causing the rack to become unstable and lean. The cause of the damage could not be definitively determined. However, based on the extent and nature of the deformation, it is likely that the support leg was inadvertently struck by a forklift.</t>
        </r>
      </text>
    </comment>
    <comment ref="F20" authorId="0" shapeId="0" xr:uid="{C49558BC-A2FC-4B63-87E2-BA76D81E21CF}">
      <text>
        <r>
          <rPr>
            <b/>
            <sz val="9"/>
            <color indexed="81"/>
            <rFont val="Tahoma"/>
            <family val="2"/>
          </rPr>
          <t xml:space="preserve">LCY-2026-031 Near Miss: </t>
        </r>
        <r>
          <rPr>
            <sz val="9"/>
            <color indexed="81"/>
            <rFont val="Tahoma"/>
            <family val="2"/>
          </rPr>
          <t xml:space="preserve">This near miss was identified through safety observation 2026-087, which noted that an electric stove burner was left on for an undetermined period after use, presenting both a fire hazard and the potential for thermal burn injury to unaware personnel.
</t>
        </r>
      </text>
    </comment>
    <comment ref="I20" authorId="0" shapeId="0" xr:uid="{4A5548A8-2393-4A25-9A81-A6A956F67B55}">
      <text>
        <r>
          <rPr>
            <b/>
            <sz val="9"/>
            <color indexed="81"/>
            <rFont val="Tahoma"/>
            <family val="2"/>
          </rPr>
          <t>LCY-2026-050 Near Miss:</t>
        </r>
        <r>
          <rPr>
            <sz val="9"/>
            <color indexed="81"/>
            <rFont val="Tahoma"/>
            <family val="2"/>
          </rPr>
          <t xml:space="preserve">  While reporting to the monthly safety meeting, a Mundy contractor backed into a parked vehicle, resulting in minor damage to both vehicles. No injuries were reported, and the incident was limited to property damage.
</t>
        </r>
      </text>
    </comment>
    <comment ref="C21" authorId="0" shapeId="0" xr:uid="{91C02370-EF4B-46A1-8670-45F788B00BA4}">
      <text>
        <r>
          <rPr>
            <sz val="9"/>
            <color indexed="81"/>
            <rFont val="Tahoma"/>
            <family val="2"/>
          </rPr>
          <t>1/5/2026 -  F.E Moran Discharged a CO2 bottle to the floor in the reaction control room while conducting annual inspections. 
1/12/2026 - A General Polymer truck spilled material onto the roadway when the rear dump bed gate opened on one side. No personnel were in the area at the time, and the incident was unwitnessed. The rear gate was missing one of the two pins required to properly secure it.</t>
        </r>
      </text>
    </comment>
    <comment ref="B27" authorId="0" shapeId="0" xr:uid="{77FEF871-C8C2-428B-A859-3876BCC8FC76}">
      <text>
        <r>
          <rPr>
            <b/>
            <sz val="9"/>
            <color indexed="81"/>
            <rFont val="Tahoma"/>
            <family val="2"/>
          </rPr>
          <t>Chad Kelly:</t>
        </r>
        <r>
          <rPr>
            <sz val="9"/>
            <color indexed="81"/>
            <rFont val="Tahoma"/>
            <family val="2"/>
          </rPr>
          <t xml:space="preserve">
Ingredient Prep</t>
        </r>
      </text>
    </comment>
    <comment ref="E27" authorId="0" shapeId="0" xr:uid="{F4D96F38-F78A-4F2A-8B0A-C696EF8AFDE5}">
      <text>
        <r>
          <rPr>
            <sz val="9"/>
            <color indexed="81"/>
            <rFont val="Tahoma"/>
            <charset val="1"/>
          </rPr>
          <t xml:space="preserve">3/7/2026 </t>
        </r>
        <r>
          <rPr>
            <b/>
            <sz val="9"/>
            <color indexed="81"/>
            <rFont val="Tahoma"/>
            <family val="2"/>
          </rPr>
          <t>LCY-2026-013 Spill/ Release:</t>
        </r>
        <r>
          <rPr>
            <sz val="9"/>
            <color indexed="81"/>
            <rFont val="Tahoma"/>
            <family val="2"/>
          </rPr>
          <t xml:space="preserve"> NBL 15% solution leak identified at PSL-30145. The transmitter and conduit were flushed with mineral oil. PSL-30145 has been isolated and locked out for maintenance. ~ 0.5 gal LOPC. </t>
        </r>
        <r>
          <rPr>
            <b/>
            <i/>
            <sz val="9"/>
            <color indexed="81"/>
            <rFont val="Tahoma"/>
            <family val="2"/>
          </rPr>
          <t>Contributing Factor: M.I</t>
        </r>
        <r>
          <rPr>
            <sz val="9"/>
            <color indexed="81"/>
            <rFont val="Tahoma"/>
            <family val="2"/>
          </rPr>
          <t xml:space="preserve"> </t>
        </r>
        <r>
          <rPr>
            <sz val="9"/>
            <color indexed="81"/>
            <rFont val="Tahoma"/>
            <charset val="1"/>
          </rPr>
          <t xml:space="preserve">
</t>
        </r>
      </text>
    </comment>
    <comment ref="I27" authorId="0" shapeId="0" xr:uid="{C4943F34-8E6F-4CF1-9100-082A6AAA912B}">
      <text>
        <r>
          <rPr>
            <b/>
            <sz val="9"/>
            <color indexed="81"/>
            <rFont val="Tahoma"/>
            <family val="2"/>
          </rPr>
          <t xml:space="preserve">LCY-2026-051 Spill/ Release: </t>
        </r>
        <r>
          <rPr>
            <sz val="9"/>
            <color indexed="81"/>
            <rFont val="Tahoma"/>
            <family val="2"/>
          </rPr>
          <t>While positioning an NBL trailer for unloading, an operator observed NBL salt formation around the housing of Pump P-7103A, indicating a loss of containment. The affected pump was immediately removed from service and isolated for repair. Approximately 5 pounds of normal hexane were released into the contained dike area, with no material escaping secondary containment.</t>
        </r>
      </text>
    </comment>
    <comment ref="B28" authorId="0" shapeId="0" xr:uid="{F63FF7F2-AEEA-44F4-A1D1-4C0C0EB777E7}">
      <text>
        <r>
          <rPr>
            <b/>
            <sz val="9"/>
            <color indexed="81"/>
            <rFont val="Tahoma"/>
            <family val="2"/>
          </rPr>
          <t>Chad Kelly:</t>
        </r>
        <r>
          <rPr>
            <sz val="9"/>
            <color indexed="81"/>
            <rFont val="Tahoma"/>
            <family val="2"/>
          </rPr>
          <t xml:space="preserve">
Monomer Purification </t>
        </r>
      </text>
    </comment>
    <comment ref="C28" authorId="0" shapeId="0" xr:uid="{97013B66-45F0-4FCE-B484-74E20830B4A3}">
      <text>
        <r>
          <rPr>
            <sz val="9"/>
            <color indexed="81"/>
            <rFont val="Tahoma"/>
            <family val="2"/>
          </rPr>
          <t xml:space="preserve">1/16/2026 - </t>
        </r>
        <r>
          <rPr>
            <b/>
            <sz val="9"/>
            <color indexed="81"/>
            <rFont val="Tahoma"/>
            <family val="2"/>
          </rPr>
          <t>First Aid:</t>
        </r>
        <r>
          <rPr>
            <sz val="9"/>
            <color indexed="81"/>
            <rFont val="Tahoma"/>
            <family val="2"/>
          </rPr>
          <t xml:space="preserve"> While disconnecting control valve 20335-B from the flange, the valve unexpectedly swung forward, pinching the affected employee’s right index finger between the valve body and the flange face. Employee returned to work after receiving first aid treatment – cleared, no restrictions. </t>
        </r>
        <r>
          <rPr>
            <b/>
            <i/>
            <sz val="9"/>
            <color indexed="81"/>
            <rFont val="Tahoma"/>
            <family val="2"/>
          </rPr>
          <t xml:space="preserve">Contributing Factor: Human Error. </t>
        </r>
        <r>
          <rPr>
            <sz val="9"/>
            <color indexed="81"/>
            <rFont val="Tahoma"/>
            <family val="2"/>
          </rPr>
          <t xml:space="preserve"> 
</t>
        </r>
      </text>
    </comment>
    <comment ref="D28" authorId="0" shapeId="0" xr:uid="{C0345D1D-6180-4265-BCBA-E4FBF1666995}">
      <text>
        <r>
          <rPr>
            <sz val="9"/>
            <color indexed="81"/>
            <rFont val="Tahoma"/>
            <charset val="1"/>
          </rPr>
          <t xml:space="preserve">2/23/23 - </t>
        </r>
        <r>
          <rPr>
            <b/>
            <sz val="9"/>
            <color indexed="81"/>
            <rFont val="Tahoma"/>
            <family val="2"/>
          </rPr>
          <t xml:space="preserve">LCY-2026-012 Spill/ Release: </t>
        </r>
        <r>
          <rPr>
            <sz val="9"/>
            <color indexed="81"/>
            <rFont val="Tahoma"/>
            <charset val="1"/>
          </rPr>
          <t xml:space="preserve">During the lineup of T-7202 for the first solvent wash, a valve was inadvertently left open, resulting in approximately one gallon of styrene being released onto the concrete pad. There were no injuries, no personnel exposures, and no off-site impacts associated with this incident. </t>
        </r>
        <r>
          <rPr>
            <b/>
            <i/>
            <sz val="9"/>
            <color indexed="81"/>
            <rFont val="Tahoma"/>
            <family val="2"/>
          </rPr>
          <t>Contributing Factor: Human Error</t>
        </r>
        <r>
          <rPr>
            <sz val="9"/>
            <color indexed="81"/>
            <rFont val="Tahoma"/>
            <charset val="1"/>
          </rPr>
          <t xml:space="preserve">
</t>
        </r>
      </text>
    </comment>
    <comment ref="H28" authorId="0" shapeId="0" xr:uid="{C1BAB65B-C261-4AA1-9B7A-981BA75AACEB}">
      <text>
        <r>
          <rPr>
            <b/>
            <sz val="10"/>
            <color indexed="81"/>
            <rFont val="Tahoma"/>
            <family val="2"/>
          </rPr>
          <t xml:space="preserve">LCY-2026-045 Spill/ Release: </t>
        </r>
        <r>
          <rPr>
            <sz val="10"/>
            <color indexed="81"/>
            <rFont val="Tahoma"/>
            <family val="2"/>
          </rPr>
          <t>While conducting routine rounds, an employee detected the odor of butadiene near the BD charge pumps. An LEL monitor was used to locate the source, which was identified as a packing seal leak on Pump P-7213B. The spare pump was placed in service, the leaking pump was isolated, and the release was estimated at approximately 2 pounds of liquefied butadiene to the atmosphere</t>
        </r>
      </text>
    </comment>
    <comment ref="I28" authorId="0" shapeId="0" xr:uid="{93E059EC-78F0-4ABA-A91A-328520C470C6}">
      <text>
        <r>
          <rPr>
            <b/>
            <sz val="9"/>
            <color indexed="81"/>
            <rFont val="Tahoma"/>
            <family val="2"/>
          </rPr>
          <t>LCY-2026-058 Spill/ Release:</t>
        </r>
        <r>
          <rPr>
            <sz val="9"/>
            <color indexed="81"/>
            <rFont val="Tahoma"/>
            <family val="2"/>
          </rPr>
          <t xml:space="preserve"> During scheduled operator rounds, a steady drip was identified from the 6-inch nozzle on Dry Styrene Tank V-7201. The nozzle flange bolts were tightened, successfully stopping the leak. The total release was estimated to be approximately one gallon of styrene. Absorbent booms were immediately deployed to contain the material, and MicroBlaze was applied to the affected area to assist with cleanup and remediation.
</t>
        </r>
      </text>
    </comment>
    <comment ref="B29" authorId="0" shapeId="0" xr:uid="{658D49A0-7E2B-4885-9D06-C43D402A0E39}">
      <text>
        <r>
          <rPr>
            <b/>
            <sz val="9"/>
            <color indexed="81"/>
            <rFont val="Tahoma"/>
            <family val="2"/>
          </rPr>
          <t>Chad Kelly:</t>
        </r>
        <r>
          <rPr>
            <sz val="9"/>
            <color indexed="81"/>
            <rFont val="Tahoma"/>
            <family val="2"/>
          </rPr>
          <t xml:space="preserve">
Reactions </t>
        </r>
      </text>
    </comment>
    <comment ref="C29" authorId="0" shapeId="0" xr:uid="{D2D90BC5-251C-48DB-889C-B53CD95690F9}">
      <text>
        <r>
          <rPr>
            <sz val="9"/>
            <color indexed="81"/>
            <rFont val="Tahoma"/>
            <family val="2"/>
          </rPr>
          <t>1/20/26 -</t>
        </r>
        <r>
          <rPr>
            <b/>
            <sz val="9"/>
            <color indexed="81"/>
            <rFont val="Tahoma"/>
            <family val="2"/>
          </rPr>
          <t xml:space="preserve"> Spill/ Release:</t>
        </r>
        <r>
          <rPr>
            <sz val="9"/>
            <color indexed="81"/>
            <rFont val="Tahoma"/>
            <family val="2"/>
          </rPr>
          <t xml:space="preserve"> Three pipe leaks occurred during chemical cleaning of the Reactor 1 cooling water jacket, resulting in a chemical release onto the pipe alley concrete pad and the area beneath the reactor. Operators neutralized the material with soda ash. No injuries or off-site impact. </t>
        </r>
        <r>
          <rPr>
            <b/>
            <i/>
            <sz val="9"/>
            <color indexed="81"/>
            <rFont val="Tahoma"/>
            <family val="2"/>
          </rPr>
          <t>Contributing Factor: M.I</t>
        </r>
        <r>
          <rPr>
            <sz val="9"/>
            <color indexed="81"/>
            <rFont val="Tahoma"/>
            <family val="2"/>
          </rPr>
          <t xml:space="preserve">
</t>
        </r>
      </text>
    </comment>
    <comment ref="D29" authorId="0" shapeId="0" xr:uid="{83FA6E69-B096-4F55-9262-1DE6A8A5EE0A}">
      <text>
        <r>
          <rPr>
            <sz val="9"/>
            <color indexed="81"/>
            <rFont val="Tahoma"/>
            <charset val="1"/>
          </rPr>
          <t xml:space="preserve">2/16/2026: </t>
        </r>
        <r>
          <rPr>
            <b/>
            <sz val="9"/>
            <color indexed="81"/>
            <rFont val="Tahoma"/>
            <family val="2"/>
          </rPr>
          <t>LCY-2026-010 Spill/ Release</t>
        </r>
        <r>
          <rPr>
            <sz val="9"/>
            <color indexed="81"/>
            <rFont val="Tahoma"/>
            <charset val="1"/>
          </rPr>
          <t xml:space="preserve"> - During transfer of solvent from R-7302 to Blend Tank #1, a leak developed at the expansion joint on R-7303, releasing approximately 2 gallons to the ground. The area was barricaded and Micro-Blaze was applied for cleanup. </t>
        </r>
        <r>
          <rPr>
            <b/>
            <i/>
            <sz val="9"/>
            <color indexed="81"/>
            <rFont val="Tahoma"/>
            <family val="2"/>
          </rPr>
          <t>Contributing Factor: M.I</t>
        </r>
        <r>
          <rPr>
            <sz val="9"/>
            <color indexed="81"/>
            <rFont val="Tahoma"/>
            <charset val="1"/>
          </rPr>
          <t xml:space="preserve">
</t>
        </r>
      </text>
    </comment>
    <comment ref="B30" authorId="0" shapeId="0" xr:uid="{55C0A212-1B31-4D05-A587-D593AA0847EE}">
      <text>
        <r>
          <rPr>
            <b/>
            <sz val="9"/>
            <color indexed="81"/>
            <rFont val="Tahoma"/>
            <family val="2"/>
          </rPr>
          <t>Chad Kelly:</t>
        </r>
        <r>
          <rPr>
            <sz val="9"/>
            <color indexed="81"/>
            <rFont val="Tahoma"/>
            <family val="2"/>
          </rPr>
          <t xml:space="preserve">
Blending &amp; Stripping 
</t>
        </r>
      </text>
    </comment>
    <comment ref="C30" authorId="0" shapeId="0" xr:uid="{3208E622-71CE-4881-A3D9-0CF93333F25D}">
      <text>
        <r>
          <rPr>
            <sz val="9"/>
            <color indexed="81"/>
            <rFont val="Tahoma"/>
            <family val="2"/>
          </rPr>
          <t xml:space="preserve">1/20/26 </t>
        </r>
        <r>
          <rPr>
            <b/>
            <sz val="9"/>
            <color indexed="81"/>
            <rFont val="Tahoma"/>
            <family val="2"/>
          </rPr>
          <t>Equipment Damage:</t>
        </r>
        <r>
          <rPr>
            <sz val="9"/>
            <color indexed="81"/>
            <rFont val="Tahoma"/>
            <family val="2"/>
          </rPr>
          <t xml:space="preserve"> An operator observed that the new LEL monitor located behind the Aqueous Blowdown Tank was hanging due to a broken mounting bracket. While no confirmed cause was identified, the damage was most likely caused by contact with a powered industrial truck or contractor equipment during turnaround mobilization.</t>
        </r>
        <r>
          <rPr>
            <b/>
            <i/>
            <sz val="9"/>
            <color indexed="81"/>
            <rFont val="Tahoma"/>
            <family val="2"/>
          </rPr>
          <t xml:space="preserve"> Contibuting Factor: Human Error</t>
        </r>
        <r>
          <rPr>
            <sz val="9"/>
            <color indexed="81"/>
            <rFont val="Tahoma"/>
            <family val="2"/>
          </rPr>
          <t xml:space="preserve">
</t>
        </r>
      </text>
    </comment>
    <comment ref="E30" authorId="0" shapeId="0" xr:uid="{67D086A3-FD6A-4A8C-AFC6-858066E7D365}">
      <text>
        <r>
          <rPr>
            <sz val="9"/>
            <color indexed="81"/>
            <rFont val="Tahoma"/>
            <family val="2"/>
          </rPr>
          <t>3/30/2026</t>
        </r>
        <r>
          <rPr>
            <b/>
            <sz val="9"/>
            <color indexed="81"/>
            <rFont val="Tahoma"/>
            <family val="2"/>
          </rPr>
          <t xml:space="preserve"> LCY-2026-017 (Spill/ Release):</t>
        </r>
        <r>
          <rPr>
            <sz val="9"/>
            <color indexed="81"/>
            <rFont val="Tahoma"/>
            <charset val="1"/>
          </rPr>
          <t xml:space="preserve"> A cyclohexane leak was identified at a flange on the P-7404 A/B minimum flow line. The process sump to outfall was stopped, ERT responded, and temporary repairs were attempted for a controlled shutdown. Containment and cleanup actions were implemented, with approximately 60 gallons entering the process sump. </t>
        </r>
        <r>
          <rPr>
            <b/>
            <i/>
            <sz val="9"/>
            <color indexed="81"/>
            <rFont val="Tahoma"/>
            <family val="2"/>
          </rPr>
          <t>Contributing Factor: M.I</t>
        </r>
        <r>
          <rPr>
            <sz val="9"/>
            <color indexed="81"/>
            <rFont val="Tahoma"/>
            <charset val="1"/>
          </rPr>
          <t xml:space="preserve">
</t>
        </r>
      </text>
    </comment>
    <comment ref="F30" authorId="0" shapeId="0" xr:uid="{E4C34D1F-F28A-4D23-9AEF-13C66E750BCF}">
      <text>
        <r>
          <rPr>
            <b/>
            <sz val="9"/>
            <color indexed="81"/>
            <rFont val="Tahoma"/>
            <family val="2"/>
          </rPr>
          <t>LCY-2026-018 Spill/ Release:</t>
        </r>
        <r>
          <rPr>
            <sz val="9"/>
            <color indexed="81"/>
            <rFont val="Tahoma"/>
            <charset val="1"/>
          </rPr>
          <t xml:space="preserve"> A pipe clamp on the solvent side of the stripper decanter failed, resulting in a minor leak. The reaction operator quickly identified the issue and placed an open-top barrel beneath the leak to contain it. Approximately one gallon of solvent reached the pad, and Microblaze was applied to clean the affected area.
</t>
        </r>
      </text>
    </comment>
    <comment ref="K30" authorId="0" shapeId="0" xr:uid="{D94E01D7-7EC7-4D7B-BAA7-052F1C69A2CC}">
      <text>
        <r>
          <rPr>
            <b/>
            <sz val="9"/>
            <color indexed="81"/>
            <rFont val="Tahoma"/>
            <family val="2"/>
          </rPr>
          <t>LCY-2026-072 Spill/ Release:</t>
        </r>
        <r>
          <rPr>
            <sz val="9"/>
            <color indexed="81"/>
            <rFont val="Tahoma"/>
            <family val="2"/>
          </rPr>
          <t xml:space="preserve"> Operations was performing activities associated with de-inventorying the solvent decanter. As part of the de-inventory process, the Operator opened the designated water-drain valve located upstream of the sump pump suction to remove accumulated water from the vessel. As the water was discharged to the sump, a solvent phase subsequently entered the sump. Approximately 1–3 gallons of solvent were released and captured within the secondary containment.</t>
        </r>
      </text>
    </comment>
    <comment ref="B31" authorId="0" shapeId="0" xr:uid="{7692E9C3-5684-4993-ADC3-06C96F1EF06F}">
      <text>
        <r>
          <rPr>
            <b/>
            <sz val="9"/>
            <color indexed="81"/>
            <rFont val="Tahoma"/>
            <family val="2"/>
          </rPr>
          <t>Chad Kelly:</t>
        </r>
        <r>
          <rPr>
            <sz val="9"/>
            <color indexed="81"/>
            <rFont val="Tahoma"/>
            <family val="2"/>
          </rPr>
          <t xml:space="preserve">
Solvent Purification</t>
        </r>
      </text>
    </comment>
    <comment ref="J31" authorId="0" shapeId="0" xr:uid="{DA4A17B9-0DFA-4545-A96C-C1E9161D5F39}">
      <text>
        <r>
          <rPr>
            <b/>
            <sz val="9"/>
            <color indexed="81"/>
            <rFont val="Tahoma"/>
            <charset val="1"/>
          </rPr>
          <t>LCY-2026-059 Spill/Release: During a routine round, Operations detected a solvent odor and identified a pinhole leak on the 6-inch outlet line from the E-7511 solvent overhead exchanger to the solvent decanter
LCY-2026-064 Spill/Release: LOPC was identified following maintenance on the moisture analyzers. An incorrect valve lineup after the work resulted in the release of approximately 1 gallon of cyclohexane to the process pad, where it was contained within secondary containment. No injuries or off-site impacts occurred.</t>
        </r>
      </text>
    </comment>
    <comment ref="B32" authorId="0" shapeId="0" xr:uid="{94FC733D-9A91-4A9A-9C41-384CAE084301}">
      <text>
        <r>
          <rPr>
            <b/>
            <sz val="9"/>
            <color indexed="81"/>
            <rFont val="Tahoma"/>
            <family val="2"/>
          </rPr>
          <t>Chad Kelly:</t>
        </r>
        <r>
          <rPr>
            <sz val="9"/>
            <color indexed="81"/>
            <rFont val="Tahoma"/>
            <family val="2"/>
          </rPr>
          <t xml:space="preserve">
Utilities </t>
        </r>
      </text>
    </comment>
    <comment ref="E32" authorId="0" shapeId="0" xr:uid="{C9743B8D-32C4-445B-814A-48E292750CAA}">
      <text>
        <r>
          <rPr>
            <b/>
            <sz val="9"/>
            <color indexed="81"/>
            <rFont val="Tahoma"/>
            <family val="2"/>
          </rPr>
          <t xml:space="preserve">LCY-2026-014 Equipment Damage: </t>
        </r>
        <r>
          <rPr>
            <sz val="9"/>
            <color indexed="81"/>
            <rFont val="Tahoma"/>
            <charset val="1"/>
          </rPr>
          <t xml:space="preserve">An equipment damage incident occurred in the 600 Powerhouse when the internal transformer within the Cooling Tower Fan MCC bucket failed, generating heat and smoke causing a thermal event that activated the fire alarm. No injuries or off-site impact. 
</t>
        </r>
      </text>
    </comment>
    <comment ref="F32" authorId="0" shapeId="0" xr:uid="{0B7D9E22-376B-4A49-A33E-762BB93D1BBB}">
      <text>
        <r>
          <rPr>
            <b/>
            <sz val="9"/>
            <color indexed="81"/>
            <rFont val="Tahoma"/>
            <family val="2"/>
          </rPr>
          <t xml:space="preserve">LCY-2026-024 First Aid: </t>
        </r>
        <r>
          <rPr>
            <sz val="9"/>
            <color indexed="81"/>
            <rFont val="Tahoma"/>
            <family val="2"/>
          </rPr>
          <t xml:space="preserve">While taking measurements at the chiller skid, an employee sustained a minor cut to his finger when the tape measure retracted and struck his finger, which was positioned in the line of fire. </t>
        </r>
        <r>
          <rPr>
            <b/>
            <i/>
            <sz val="9"/>
            <color indexed="81"/>
            <rFont val="Tahoma"/>
            <family val="2"/>
          </rPr>
          <t>Contibuting Factor: Human Error</t>
        </r>
      </text>
    </comment>
    <comment ref="I32" authorId="0" shapeId="0" xr:uid="{3FF0C3F0-3A28-4859-9081-211961C1F74A}">
      <text>
        <r>
          <rPr>
            <b/>
            <sz val="9"/>
            <color indexed="81"/>
            <rFont val="Tahoma"/>
            <family val="2"/>
          </rPr>
          <t>LCY-2026-056 Spill/ Release:</t>
        </r>
        <r>
          <rPr>
            <sz val="9"/>
            <color indexed="81"/>
            <rFont val="Tahoma"/>
            <family val="2"/>
          </rPr>
          <t xml:space="preserve"> While unloading an acid trailer into the cooling tower acid storage tank, an employee overfilled the tank, resulting in the release of approximately 3 gallons of acid into the secondary containment area. The tank level gauge was not functioning properly, and the employee was unaware the tank had reached capacity until the overflow occurred. The release was contained within the designated containment area, and no injuries or off-site impacts were reported.</t>
        </r>
      </text>
    </comment>
    <comment ref="B33" authorId="0" shapeId="0" xr:uid="{0471E4B5-9986-41B5-89C4-05C14D565768}">
      <text>
        <r>
          <rPr>
            <b/>
            <sz val="9"/>
            <color indexed="81"/>
            <rFont val="Tahoma"/>
            <family val="2"/>
          </rPr>
          <t>Chad Kelly:</t>
        </r>
        <r>
          <rPr>
            <sz val="9"/>
            <color indexed="81"/>
            <rFont val="Tahoma"/>
            <family val="2"/>
          </rPr>
          <t xml:space="preserve">
Finishing </t>
        </r>
      </text>
    </comment>
    <comment ref="C33" authorId="0" shapeId="0" xr:uid="{A0864D79-F115-4744-8EBB-6F6F859B8B32}">
      <text>
        <r>
          <rPr>
            <sz val="9"/>
            <color indexed="81"/>
            <rFont val="Tahoma"/>
            <family val="2"/>
          </rPr>
          <t xml:space="preserve">1/21/26 - </t>
        </r>
        <r>
          <rPr>
            <b/>
            <sz val="9"/>
            <color indexed="81"/>
            <rFont val="Tahoma"/>
            <family val="2"/>
          </rPr>
          <t>Hazardous Condition (Electical):</t>
        </r>
        <r>
          <rPr>
            <sz val="9"/>
            <color indexed="81"/>
            <rFont val="Tahoma"/>
            <family val="2"/>
          </rPr>
          <t xml:space="preserve"> While re-energizing blower C-7714A following multiple system trips, an arc flash occurred inside the C-7714A panel. </t>
        </r>
        <r>
          <rPr>
            <b/>
            <i/>
            <sz val="9"/>
            <color indexed="81"/>
            <rFont val="Tahoma"/>
            <family val="2"/>
          </rPr>
          <t xml:space="preserve">Contributing Factor: Human Error (PSIF). </t>
        </r>
        <r>
          <rPr>
            <sz val="9"/>
            <color indexed="81"/>
            <rFont val="Tahoma"/>
            <family val="2"/>
          </rPr>
          <t xml:space="preserve">
</t>
        </r>
      </text>
    </comment>
    <comment ref="H33" authorId="0" shapeId="0" xr:uid="{0544E674-CEEB-4D30-A345-B2656A99DB92}">
      <text>
        <r>
          <rPr>
            <b/>
            <sz val="9"/>
            <color indexed="81"/>
            <rFont val="Tahoma"/>
            <family val="2"/>
          </rPr>
          <t xml:space="preserve"> LCY-2026-044 Spill/ Release:</t>
        </r>
        <r>
          <rPr>
            <sz val="9"/>
            <color indexed="81"/>
            <rFont val="Tahoma"/>
            <family val="2"/>
          </rPr>
          <t xml:space="preserve"> While conducting routine rounds, an employee discovered oil leaking from the top of the Line 2 Expeller oil reservoir. Operations immediately shut down the expeller, and maintenance determined that the oil PSV had failed, resulting in the release of approximately 50–60 gallons of oil to the ground.
</t>
        </r>
      </text>
    </comment>
    <comment ref="B34" authorId="0" shapeId="0" xr:uid="{E3730CF0-92A3-42AB-958D-4DB9412817BF}">
      <text>
        <r>
          <rPr>
            <b/>
            <sz val="9"/>
            <color indexed="81"/>
            <rFont val="Tahoma"/>
            <family val="2"/>
          </rPr>
          <t>Chad Kelly:</t>
        </r>
        <r>
          <rPr>
            <sz val="9"/>
            <color indexed="81"/>
            <rFont val="Tahoma"/>
            <family val="2"/>
          </rPr>
          <t xml:space="preserve">
Monomer &amp; Waste Hydrocarbons </t>
        </r>
      </text>
    </comment>
    <comment ref="B35" authorId="0" shapeId="0" xr:uid="{412ED89C-6CFE-4BB2-86BE-521072D2C1C8}">
      <text>
        <r>
          <rPr>
            <b/>
            <sz val="9"/>
            <color indexed="81"/>
            <rFont val="Tahoma"/>
            <family val="2"/>
          </rPr>
          <t>Chad Kelly:</t>
        </r>
        <r>
          <rPr>
            <sz val="9"/>
            <color indexed="81"/>
            <rFont val="Tahoma"/>
            <family val="2"/>
          </rPr>
          <t xml:space="preserve">
Blowdown &amp; Flare </t>
        </r>
      </text>
    </comment>
    <comment ref="G36" authorId="0" shapeId="0" xr:uid="{BD2C370A-E686-490E-A2E8-EEC43CD4BB92}">
      <text>
        <r>
          <rPr>
            <b/>
            <sz val="9"/>
            <color indexed="81"/>
            <rFont val="Tahoma"/>
            <family val="2"/>
          </rPr>
          <t xml:space="preserve">LCY-2026-037 Property Damage: </t>
        </r>
        <r>
          <rPr>
            <sz val="9"/>
            <color indexed="81"/>
            <rFont val="Tahoma"/>
            <family val="2"/>
          </rPr>
          <t xml:space="preserve">Originally reported as LCY-2026-036 (Near Miss), this incident has been reclassified as LCY-2026-037 (Property Damage), thereby voiding LCY-2026-036. A Mundy warehouse contractor struck staged 3501 product boxes while backing a forklift, causing four boxes to collapse into the aisleway and disperse finished product. Based on the investigation findings, the incident was escalated from a near miss to a property damage incident due to inadequate situational awareness and unsafe forklift operation.
</t>
        </r>
        <r>
          <rPr>
            <b/>
            <sz val="9"/>
            <color indexed="81"/>
            <rFont val="Tahoma"/>
            <family val="2"/>
          </rPr>
          <t>LCY-2026-039 Hazardous Condition (Material Handling or Lifting):</t>
        </r>
        <r>
          <rPr>
            <sz val="9"/>
            <color indexed="81"/>
            <rFont val="Tahoma"/>
            <family val="2"/>
          </rPr>
          <t xml:space="preserve"> A pallet of raw material sacks stacked three-high fell in the warehouse due to improper staging and unstable stacking conditions. No injuries occurred, but the incident identified elevated risks associated with current raw material storage and staging practices.
</t>
        </r>
      </text>
    </comment>
    <comment ref="C39" authorId="0" shapeId="0" xr:uid="{9730BEC3-48F8-4A40-8B6A-A5C7D87412A5}">
      <text>
        <r>
          <rPr>
            <sz val="9"/>
            <color indexed="81"/>
            <rFont val="Tahoma"/>
            <family val="2"/>
          </rPr>
          <t>1/16/2026 -</t>
        </r>
        <r>
          <rPr>
            <b/>
            <sz val="9"/>
            <color indexed="81"/>
            <rFont val="Tahoma"/>
            <family val="2"/>
          </rPr>
          <t xml:space="preserve"> Non-Work-Related Incident:</t>
        </r>
        <r>
          <rPr>
            <sz val="9"/>
            <color indexed="81"/>
            <rFont val="Tahoma"/>
            <family val="2"/>
          </rPr>
          <t xml:space="preserve"> As a Mundy employee was departing the site in his personal vehicle, he inadvertently drove off the curb and into the drainage ditch. The incident resulted in damage to the vehicle, rendering it inoperable. </t>
        </r>
        <r>
          <rPr>
            <b/>
            <i/>
            <sz val="9"/>
            <color indexed="81"/>
            <rFont val="Tahoma"/>
            <family val="2"/>
          </rPr>
          <t>Contributing Factor: Human Error</t>
        </r>
        <r>
          <rPr>
            <sz val="9"/>
            <color indexed="81"/>
            <rFont val="Tahoma"/>
            <family val="2"/>
          </rPr>
          <t xml:space="preserve"> </t>
        </r>
        <r>
          <rPr>
            <b/>
            <sz val="9"/>
            <color indexed="81"/>
            <rFont val="Tahoma"/>
            <family val="2"/>
          </rPr>
          <t>(PSIF)</t>
        </r>
        <r>
          <rPr>
            <sz val="9"/>
            <color indexed="81"/>
            <rFont val="Tahoma"/>
            <family val="2"/>
          </rPr>
          <t xml:space="preserve">
</t>
        </r>
      </text>
    </comment>
    <comment ref="D39" authorId="0" shapeId="0" xr:uid="{05077C8C-9DCC-41F8-8C6D-4B09756F387B}">
      <text>
        <r>
          <rPr>
            <sz val="9"/>
            <color indexed="81"/>
            <rFont val="Tahoma"/>
            <charset val="1"/>
          </rPr>
          <t xml:space="preserve">2/8/2026 Non-Work-Related Incident - A Mundy employee was involved in a solo vehicle incident in the front parking lot of the LCY. While repositioning his vehicle due to limited parking, the vehicle backed into a ditch. The employee was able to safely remove the vehicle without damage or injury.
2/27/2026 Property Damage - A Mundy A forklift operator struck the bottom of a partially raised dock door at Dock #6 while entering a trailer with a load. The operator failed to verify overhead clearance prior to entry. The door remained operational and sustained no significant damage, and no injuries occurred.
</t>
        </r>
      </text>
    </comment>
    <comment ref="E39" authorId="0" shapeId="0" xr:uid="{C8F9BE5C-E28F-4418-BF77-492E362AFD2D}">
      <text>
        <r>
          <rPr>
            <b/>
            <sz val="9"/>
            <color indexed="81"/>
            <rFont val="Tahoma"/>
            <family val="2"/>
          </rPr>
          <t>LCY-2026-015 (First Aid):</t>
        </r>
        <r>
          <rPr>
            <sz val="9"/>
            <color indexed="81"/>
            <rFont val="Tahoma"/>
            <family val="2"/>
          </rPr>
          <t xml:space="preserve"> A Mundy Grinder Operator was exposed to airborne fine talc powder while transferring waste material from a damaged container into another container. During the task, airborne dust entered and contacted the operator’s eyes. First aid was administered on-site by repeatedly flushing the affected individual’s eyes at an eyewash station. The employee was able to return to work without the need for external medical evaluation. </t>
        </r>
        <r>
          <rPr>
            <b/>
            <i/>
            <sz val="9"/>
            <color indexed="81"/>
            <rFont val="Tahoma"/>
            <family val="2"/>
          </rPr>
          <t xml:space="preserve">Contibuting Factor: Human Error </t>
        </r>
        <r>
          <rPr>
            <sz val="9"/>
            <color indexed="81"/>
            <rFont val="Tahoma"/>
            <family val="2"/>
          </rPr>
          <t xml:space="preserve">
</t>
        </r>
        <r>
          <rPr>
            <b/>
            <sz val="9"/>
            <color indexed="81"/>
            <rFont val="Tahoma"/>
            <family val="2"/>
          </rPr>
          <t xml:space="preserve">LCY-2026-016 (FIRE): </t>
        </r>
        <r>
          <rPr>
            <sz val="9"/>
            <color indexed="81"/>
            <rFont val="Tahoma"/>
            <family val="2"/>
          </rPr>
          <t>A small fire occurred behind the East Stretch Wrapper (WM-1580) in the warehouse when a damaged 120V electrical cord pinched and severed between the equipment and a metal backstop ignited.</t>
        </r>
        <r>
          <rPr>
            <b/>
            <i/>
            <sz val="9"/>
            <color indexed="81"/>
            <rFont val="Tahoma"/>
            <family val="2"/>
          </rPr>
          <t xml:space="preserve"> Contibuting Factor: Human Error</t>
        </r>
        <r>
          <rPr>
            <sz val="9"/>
            <color indexed="81"/>
            <rFont val="Tahoma"/>
            <family val="2"/>
          </rPr>
          <t xml:space="preserve">
</t>
        </r>
      </text>
    </comment>
    <comment ref="F39" authorId="0" shapeId="0" xr:uid="{1A328FC0-B1D9-47E0-99F0-F487C1A3491C}">
      <text>
        <r>
          <rPr>
            <b/>
            <sz val="9"/>
            <color indexed="81"/>
            <rFont val="Tahoma"/>
            <family val="2"/>
          </rPr>
          <t>LCY-2026-019 Equipment Damage:</t>
        </r>
        <r>
          <rPr>
            <sz val="9"/>
            <color indexed="81"/>
            <rFont val="Tahoma"/>
            <family val="2"/>
          </rPr>
          <t xml:space="preserve"> The scrap recovery forklift operator was moving a hippo hopper through finishing building and ran into snuffing steam piping going into spiral cooler pit causing damage to steam line, I-beam, and hippo hopper.</t>
        </r>
        <r>
          <rPr>
            <b/>
            <i/>
            <sz val="9"/>
            <color indexed="81"/>
            <rFont val="Tahoma"/>
            <family val="2"/>
          </rPr>
          <t xml:space="preserve"> Contributing Factor: Human Error - PSIF
</t>
        </r>
        <r>
          <rPr>
            <b/>
            <sz val="9"/>
            <color indexed="81"/>
            <rFont val="Tahoma"/>
            <family val="2"/>
          </rPr>
          <t xml:space="preserve">LCY-2026-020 First Aid: </t>
        </r>
        <r>
          <rPr>
            <sz val="9"/>
            <color indexed="81"/>
            <rFont val="Tahoma"/>
            <family val="2"/>
          </rPr>
          <t xml:space="preserve">Contractor sustained a thermal burn to their left index finger after touching a hot, dragging chain on a Hippo hopper while moving it from scrap recovery to finishing.
</t>
        </r>
        <r>
          <rPr>
            <b/>
            <sz val="9"/>
            <color indexed="81"/>
            <rFont val="Tahoma"/>
            <family val="2"/>
          </rPr>
          <t>LCY-2026-021 Equipment Damage:</t>
        </r>
        <r>
          <rPr>
            <sz val="9"/>
            <color indexed="81"/>
            <rFont val="Tahoma"/>
            <family val="2"/>
          </rPr>
          <t xml:space="preserve"> A Mundy contract forklift operator was traveling north-northwest down a center warehouse aisle while transporting a trash hopper. Upon entering an intersection, the operator collided with another Mundy forklift traveling westbound, striking the left side of that forklift. </t>
        </r>
        <r>
          <rPr>
            <b/>
            <i/>
            <sz val="9"/>
            <color indexed="81"/>
            <rFont val="Tahoma"/>
            <family val="2"/>
          </rPr>
          <t xml:space="preserve">Contibuting Factor: Human Error - PSIF
</t>
        </r>
        <r>
          <rPr>
            <b/>
            <sz val="9"/>
            <color indexed="81"/>
            <rFont val="Tahoma"/>
            <family val="2"/>
          </rPr>
          <t>LCY-2026-023 Equipment Damage:</t>
        </r>
        <r>
          <rPr>
            <sz val="9"/>
            <color indexed="81"/>
            <rFont val="Tahoma"/>
            <family val="2"/>
          </rPr>
          <t xml:space="preserve"> A Mundy employee damaged the tip of a forklift fork (S5, Serial 28446) within a five-minute period. Video shows no damage at 4:10 a.m., but visible damage by 4:15 a.m. on 4/15/2026. The operator did not recall any impact, though the severity indicates a significant collision occurred. </t>
        </r>
        <r>
          <rPr>
            <b/>
            <i/>
            <sz val="9"/>
            <color indexed="81"/>
            <rFont val="Tahoma"/>
            <family val="2"/>
          </rPr>
          <t xml:space="preserve">Contibuting Factor: Human Error </t>
        </r>
      </text>
    </comment>
    <comment ref="H39" authorId="0" shapeId="0" xr:uid="{1FD57249-9060-4B36-830F-3CC622BCD0DD}">
      <text>
        <r>
          <rPr>
            <b/>
            <sz val="10"/>
            <color indexed="81"/>
            <rFont val="Tahoma"/>
            <family val="2"/>
          </rPr>
          <t>LCY-2026-041 Equipment Damage:</t>
        </r>
        <r>
          <rPr>
            <sz val="10"/>
            <color indexed="81"/>
            <rFont val="Tahoma"/>
            <family val="2"/>
          </rPr>
          <t xml:space="preserve"> A fork truck struck a fire monitor after loose, wet gravel shifted beneath the vehicle, causing the fork truck to slide and make contact with the monitor. The incident resulted in damage to the glass panel on the fork truck door. No injuries occurred, and no damage to the fire monitor was identified.
</t>
        </r>
        <r>
          <rPr>
            <sz val="9"/>
            <color indexed="81"/>
            <rFont val="Tahoma"/>
            <charset val="1"/>
          </rPr>
          <t xml:space="preserve">
</t>
        </r>
        <r>
          <rPr>
            <b/>
            <sz val="9"/>
            <color indexed="81"/>
            <rFont val="Tahoma"/>
            <family val="2"/>
          </rPr>
          <t xml:space="preserve">
</t>
        </r>
        <r>
          <rPr>
            <b/>
            <sz val="10"/>
            <color indexed="81"/>
            <rFont val="Tahoma"/>
            <family val="2"/>
          </rPr>
          <t xml:space="preserve">LCY-2026-046 Equipment Damage: </t>
        </r>
        <r>
          <rPr>
            <sz val="10"/>
            <color indexed="81"/>
            <rFont val="Tahoma"/>
            <family val="2"/>
          </rPr>
          <t>While changing out the Line 1 open vent hopper, an employee accidentally struck a small water line nipple with the hopper, causing the nipple to break and resulting in minor equipment damage.</t>
        </r>
      </text>
    </comment>
    <comment ref="I39" authorId="0" shapeId="0" xr:uid="{234A683F-9B9B-4080-BBAF-501A90572D7A}">
      <text>
        <r>
          <rPr>
            <b/>
            <sz val="9"/>
            <color indexed="81"/>
            <rFont val="Tahoma"/>
            <family val="2"/>
          </rPr>
          <t>LCY-2026-054 Property Damage</t>
        </r>
        <r>
          <rPr>
            <sz val="9"/>
            <color indexed="81"/>
            <rFont val="Tahoma"/>
            <family val="2"/>
          </rPr>
          <t>: A Mundy contractor operating a forklift struck an overhead door, resulting in damage to both the overhead door and the forklift. No injuries were reported.</t>
        </r>
      </text>
    </comment>
    <comment ref="J39" authorId="0" shapeId="0" xr:uid="{9CCF045C-062B-490B-A6E4-59AADBD32768}">
      <text>
        <r>
          <rPr>
            <b/>
            <sz val="9"/>
            <color indexed="81"/>
            <rFont val="Tahoma"/>
            <charset val="1"/>
          </rPr>
          <t>LCY-2026-063 Injury: At approximately 0800 hours on August 19, 2026, a Grinder Operator employed by Mundy sustained a serious injury to his left hand while attempting to address a product-flow issue at the Rotex shaker screen within the grinder system.</t>
        </r>
      </text>
    </comment>
    <comment ref="K39" authorId="0" shapeId="0" xr:uid="{311F0124-6AB8-4F64-9E64-8D558B3DC848}">
      <text>
        <r>
          <rPr>
            <b/>
            <sz val="9"/>
            <color indexed="81"/>
            <rFont val="Tahoma"/>
            <family val="2"/>
          </rPr>
          <t>LCY-2026-069 Equipment Damage:</t>
        </r>
        <r>
          <rPr>
            <sz val="9"/>
            <color indexed="81"/>
            <rFont val="Tahoma"/>
            <family val="2"/>
          </rPr>
          <t xml:space="preserve"> A Mundy Grinder Operator failed to lower the forklift forks and mast before traveling through the roll-up door while responding to a plugged condition. The elevated mast struck the top of the roll-up door, resulting in extensive damage to the forklift mast and potential damage to the roll-up door.</t>
        </r>
      </text>
    </comment>
    <comment ref="D40" authorId="0" shapeId="0" xr:uid="{8BD55D9F-8DD1-45FE-85F8-B1874F93454D}">
      <text>
        <r>
          <rPr>
            <sz val="9"/>
            <color indexed="81"/>
            <rFont val="Tahoma"/>
            <family val="2"/>
          </rPr>
          <t xml:space="preserve">2/3/2026 </t>
        </r>
        <r>
          <rPr>
            <b/>
            <sz val="9"/>
            <color indexed="81"/>
            <rFont val="Tahoma"/>
            <family val="2"/>
          </rPr>
          <t>Hazardous Condition (Electrical)</t>
        </r>
        <r>
          <rPr>
            <sz val="9"/>
            <color indexed="81"/>
            <rFont val="Tahoma"/>
            <family val="2"/>
          </rPr>
          <t>: An arc flash occurred, initiated by a bolted fault when the air switch was closed.</t>
        </r>
        <r>
          <rPr>
            <b/>
            <i/>
            <sz val="9"/>
            <color indexed="81"/>
            <rFont val="Tahoma"/>
            <family val="2"/>
          </rPr>
          <t xml:space="preserve"> Contributing Factor: Human Error
</t>
        </r>
        <r>
          <rPr>
            <sz val="9"/>
            <color indexed="81"/>
            <rFont val="Tahoma"/>
            <family val="2"/>
          </rPr>
          <t xml:space="preserve">2/6/2026: </t>
        </r>
        <r>
          <rPr>
            <b/>
            <sz val="9"/>
            <color indexed="81"/>
            <rFont val="Tahoma"/>
            <family val="2"/>
          </rPr>
          <t>LCY-2026-011 Hazardous Condition (Walking Surface)</t>
        </r>
        <r>
          <rPr>
            <sz val="9"/>
            <color indexed="81"/>
            <rFont val="Tahoma"/>
            <family val="2"/>
          </rPr>
          <t>: A Cleaver-Brooks contract supervisor identified a section of scaffold platform that showed signs of charring on the west side of the B Boiler.</t>
        </r>
        <r>
          <rPr>
            <b/>
            <i/>
            <sz val="9"/>
            <color indexed="81"/>
            <rFont val="Tahoma"/>
            <family val="2"/>
          </rPr>
          <t xml:space="preserve"> Contributing Factor: Human Error</t>
        </r>
        <r>
          <rPr>
            <sz val="9"/>
            <color indexed="81"/>
            <rFont val="Tahoma"/>
            <family val="2"/>
          </rPr>
          <t xml:space="preserve">
</t>
        </r>
      </text>
    </comment>
    <comment ref="G40" authorId="0" shapeId="0" xr:uid="{1FC1D2D6-C570-47F0-B5C8-DF9AAE6A4EE2}">
      <text>
        <r>
          <rPr>
            <b/>
            <sz val="9"/>
            <color indexed="81"/>
            <rFont val="Tahoma"/>
            <family val="2"/>
          </rPr>
          <t xml:space="preserve">LCY 2026-040 Property Damage (Non-Work-Related): A cargo truck ran off the roadway and entered the plant ditch, damaging the cyclone fence and rupturing the potable water line supplying the plant.
</t>
        </r>
      </text>
    </comment>
    <comment ref="I40" authorId="0" shapeId="0" xr:uid="{EC18264E-512E-4C1B-AB45-3EA7419F3B71}">
      <text>
        <r>
          <rPr>
            <b/>
            <sz val="9"/>
            <color indexed="81"/>
            <rFont val="Tahoma"/>
            <family val="2"/>
          </rPr>
          <t>LCY-2026-052 Property Damage:</t>
        </r>
        <r>
          <rPr>
            <sz val="9"/>
            <color indexed="81"/>
            <rFont val="Tahoma"/>
            <family val="2"/>
          </rPr>
          <t xml:space="preserve"> A third-party truck driver struck the perimeter fence located between the Plant Administration Building and the New Warehouse loading docks while maneuvering to position a trailer at the loading dock.</t>
        </r>
      </text>
    </comment>
    <comment ref="K40" authorId="0" shapeId="0" xr:uid="{76AA5CE9-3544-4D64-9C69-B0B9D1A1EC03}">
      <text>
        <r>
          <rPr>
            <b/>
            <sz val="9"/>
            <color indexed="81"/>
            <rFont val="Tahoma"/>
            <family val="2"/>
          </rPr>
          <t>LCY-2026-070 Non-Work-Related Property Damage:</t>
        </r>
        <r>
          <rPr>
            <sz val="9"/>
            <color indexed="81"/>
            <rFont val="Tahoma"/>
            <family val="2"/>
          </rPr>
          <t xml:space="preserve"> A third-party driver arrived onsite to service the portable toilets. Upon encountering a roll-off container obstructing the roadway, the driver attempted to maneuver around it by driving through the adjacent ditch, causing the truck to become stuck.
</t>
        </r>
        <r>
          <rPr>
            <b/>
            <sz val="9"/>
            <color indexed="81"/>
            <rFont val="Tahoma"/>
            <family val="2"/>
          </rPr>
          <t xml:space="preserve">LCY-2026-073 First Aid (3rd Party Contractor): </t>
        </r>
        <r>
          <rPr>
            <sz val="9"/>
            <color indexed="81"/>
            <rFont val="Tahoma"/>
            <family val="2"/>
          </rPr>
          <t>TNT Crane was rigging a 24-inch, approximately 600-pound valve when the rigging strap shifted, causing the supporting crate to break apart. As the crate failed, one side of the structure supporting the valve gave way and the valve contacted the rigger's right leg. The rigger fell backward while attempting to avoid being pinned by the valve. The affected employee was evaluated by the company's clinic and was found to have sustained a minor abrasion and contusion to the right leg. The employee was medically evaluated and cleared to return to work.</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Chad Kelly</author>
  </authors>
  <commentList>
    <comment ref="B19" authorId="0" shapeId="0" xr:uid="{529111CB-7514-4D45-856E-63AA281F3C97}">
      <text>
        <r>
          <rPr>
            <sz val="9"/>
            <color indexed="81"/>
            <rFont val="Tahoma"/>
            <family val="2"/>
          </rPr>
          <t xml:space="preserve">Arc Flash - Electrical 
</t>
        </r>
      </text>
    </comment>
    <comment ref="C19" authorId="0" shapeId="0" xr:uid="{63119346-76AF-4555-831F-F81FE7D725D9}">
      <text>
        <r>
          <rPr>
            <sz val="9"/>
            <color indexed="81"/>
            <rFont val="Tahoma"/>
            <family val="2"/>
          </rPr>
          <t>LCY-2026-009: Arc Flash - Electrical
LCY-2026-011: Scaffold Platfom Thermal Event.</t>
        </r>
      </text>
    </comment>
    <comment ref="B25" authorId="0" shapeId="0" xr:uid="{88DC53A9-F5E2-46F3-8C91-BD57891FD9C6}">
      <text>
        <r>
          <rPr>
            <sz val="9"/>
            <color indexed="81"/>
            <rFont val="Tahoma"/>
            <family val="2"/>
          </rPr>
          <t xml:space="preserve">1/21/26 - Hazardous Condition (Electical): While re-energizing blower C-7714A following multiple system trips, an arc flash occurred inside the C-7714A panel. Contributing Factor: Human Error (PSIF). 
1/12/2026 - A General Polymer truck spilled material onto the roadway when the rear dump bed gate opened on one side. No personnel were in the area at the time, and the incident was unwitnessed. The rear gate was missing one of the two pins required to properly secure it (PSIF). </t>
        </r>
      </text>
    </comment>
    <comment ref="P39" authorId="0" shapeId="0" xr:uid="{B6F36965-BB37-4DE4-A978-47AB4311F7B2}">
      <text>
        <r>
          <rPr>
            <sz val="9"/>
            <color indexed="81"/>
            <rFont val="Tahoma"/>
            <charset val="1"/>
          </rPr>
          <t>Complacency
Inattention
Lack of Situational Awareness
Distraction
Rushing
Fatigue
Poor Decision Making
Failure to Follow Procedure
Assumption Instead of Verification
Incorrect Lineup
Failure to Stop Work
Taking a Shortcut
At-Risk Behavior
Normalization of Deviation
Complacency
Assumption
Failure to Verify
Overconfidence
Poor Hazard Recognition</t>
        </r>
      </text>
    </comment>
    <comment ref="P40" authorId="0" shapeId="0" xr:uid="{4AEA3249-F45B-475E-A9C7-AEDBCC834391}">
      <text>
        <r>
          <rPr>
            <sz val="9"/>
            <color indexed="81"/>
            <rFont val="Tahoma"/>
            <charset val="1"/>
          </rPr>
          <t xml:space="preserve">Poor Shift Handover
Inadequate Pre-job Brief
Miscommunication
No Communication Between Work Groups
Contractor Communication Failure
Incomplete Work Permit Discussion
</t>
        </r>
      </text>
    </comment>
    <comment ref="P41" authorId="0" shapeId="0" xr:uid="{3FA53233-4A10-4BA3-B749-C6BF7B2630D1}">
      <text>
        <r>
          <rPr>
            <sz val="9"/>
            <color indexed="81"/>
            <rFont val="Tahoma"/>
            <charset val="1"/>
          </rPr>
          <t xml:space="preserve">nsufficient Training
Inexperienced Worker
Skill Deficiency
Poor Understanding of Hazards
Inadequate Qualification
Lack of Refresher Training
</t>
        </r>
      </text>
    </comment>
    <comment ref="P42" authorId="0" shapeId="0" xr:uid="{7E6B2E3D-E431-41DA-B20A-0604A71AC478}">
      <text>
        <r>
          <rPr>
            <sz val="9"/>
            <color indexed="81"/>
            <rFont val="Tahoma"/>
            <family val="2"/>
          </rPr>
          <t>Procedure Not Available
Procedure Not Followed
Procedure Incorrect
Procedure Outdated
Procedure Too Complex
Missing Critical Step</t>
        </r>
      </text>
    </comment>
    <comment ref="P43" authorId="0" shapeId="0" xr:uid="{302B786D-0AAE-48F9-A2B2-2941CE83B400}">
      <text>
        <r>
          <rPr>
            <sz val="9"/>
            <color indexed="81"/>
            <rFont val="Tahoma"/>
            <family val="2"/>
          </rPr>
          <t xml:space="preserve">Equipment Failure
Instrument Failure
Valve Failure
Hose Failure
Gasket Failure
Flange Leak
Corrosion
Wear
Improper Installation
Preventive Maintenance Deficiency
Mechanical Integrity Deficiency
</t>
        </r>
      </text>
    </comment>
    <comment ref="P44" authorId="0" shapeId="0" xr:uid="{BE7525A7-AEC6-48AC-A54F-42D96AB33442}">
      <text>
        <r>
          <rPr>
            <sz val="9"/>
            <color indexed="81"/>
            <rFont val="Tahoma"/>
            <family val="2"/>
          </rPr>
          <t xml:space="preserve">Poor Equipment Design
Inadequate Guarding
Ergonomic Design Issue
Layout Issue
Poor Accessibility
Lack of Secondary Containment
Insufficient Ventilation
Inadequate Safety Device
</t>
        </r>
      </text>
    </comment>
    <comment ref="P45" authorId="0" shapeId="0" xr:uid="{01655CB4-4803-4E7E-AA4E-5EA8B997086E}">
      <text>
        <r>
          <rPr>
            <sz val="9"/>
            <color indexed="81"/>
            <rFont val="Tahoma"/>
            <family val="2"/>
          </rPr>
          <t>Poor Job Planning
Inadequate Hazard Assessment
Missing JSA/JHA
Inadequate Permit Review
Incorrect Work Sequence
Inadequate Resources
Schedule Pressure</t>
        </r>
      </text>
    </comment>
    <comment ref="P46" authorId="0" shapeId="0" xr:uid="{C159A536-34A9-459D-A165-C7802A6E4E6F}">
      <text>
        <r>
          <rPr>
            <sz val="9"/>
            <color indexed="81"/>
            <rFont val="Tahoma"/>
            <family val="2"/>
          </rPr>
          <t>Slip Hazard
Trip Hazard
Poor Material Storage
Blocked Access
Obstructed Emergency Equipment
Poor Lighting</t>
        </r>
      </text>
    </comment>
    <comment ref="P47" authorId="0" shapeId="0" xr:uid="{701D3A3F-B7A6-4252-88F2-12E80EE0B63E}">
      <text>
        <r>
          <rPr>
            <sz val="9"/>
            <color indexed="81"/>
            <rFont val="Tahoma"/>
            <family val="2"/>
          </rPr>
          <t>Weather
Wind
Rain
Ice
Heat Stress
Cold Stress
Poor Visibility
Noise</t>
        </r>
      </text>
    </comment>
    <comment ref="P48" authorId="0" shapeId="0" xr:uid="{6EB18770-B7F0-4421-B98F-17E8CA58D56A}">
      <text>
        <r>
          <rPr>
            <sz val="9"/>
            <color indexed="81"/>
            <rFont val="Tahoma"/>
            <family val="2"/>
          </rPr>
          <t>Lack of Supervision
Inadequate Oversight
Audit Finding Not Corrected
Management of Change Deficiency
Inspection Deficiency
Risk Assessment Deficiency
Inadequate Staffing
Weak Safety Culture</t>
        </r>
      </text>
    </comment>
    <comment ref="P49" authorId="0" shapeId="0" xr:uid="{AF83B667-CA27-42EC-8449-2EFCF87ABE8D}">
      <text>
        <r>
          <rPr>
            <sz val="9"/>
            <color indexed="81"/>
            <rFont val="Tahoma"/>
            <family val="2"/>
          </rPr>
          <t>Contractor Training
Contractor Supervision
Contractor Procedure
Contractor Communication
Contractor Competency</t>
        </r>
      </text>
    </comment>
    <comment ref="P52" authorId="0" shapeId="0" xr:uid="{96B421A8-7B8C-4351-956C-BCCFB58F0E43}">
      <text>
        <r>
          <rPr>
            <sz val="9"/>
            <color indexed="81"/>
            <rFont val="Tahoma"/>
            <charset val="1"/>
          </rPr>
          <t>Complacency
Inattention
Lack of Situational Awareness
Distraction
Rushing
Fatigue
Poor Decision Making
Failure to Follow Procedure
Assumption Instead of Verification
Incorrect Lineup
Failure to Stop Work
Taking a Shortcut
At-Risk Behavior
Normalization of Deviation
Complacency
Assumption
Failure to Verify
Overconfidence
Poor Hazard Recognition</t>
        </r>
      </text>
    </comment>
    <comment ref="P53" authorId="0" shapeId="0" xr:uid="{51800550-D510-4198-A996-BAEF7927299E}">
      <text>
        <r>
          <rPr>
            <sz val="9"/>
            <color indexed="81"/>
            <rFont val="Tahoma"/>
            <family val="2"/>
          </rPr>
          <t xml:space="preserve">Equipment Failure
Instrument Failure
Valve Failure
Hose Failure
Gasket Failure
Flange Leak
Corrosion
Wear
Improper Installation
Preventive Maintenance Deficiency
Mechanical Integrity Deficiency
</t>
        </r>
      </text>
    </comment>
    <comment ref="P54" authorId="0" shapeId="0" xr:uid="{00B64F46-6032-4348-B08F-A592DAE274C5}">
      <text>
        <r>
          <rPr>
            <sz val="9"/>
            <color indexed="81"/>
            <rFont val="Tahoma"/>
            <family val="2"/>
          </rPr>
          <t xml:space="preserve">Poor Equipment Design
Inadequate Guarding
Ergonomic Design Issue
Layout Issue
Poor Accessibility
Lack of Secondary Containment
Insufficient Ventilation
Inadequate Safety Device
</t>
        </r>
      </text>
    </comment>
    <comment ref="P55" authorId="0" shapeId="0" xr:uid="{E4AB084A-9F1C-448B-9E50-F263589D0EEC}">
      <text>
        <r>
          <rPr>
            <sz val="9"/>
            <color indexed="81"/>
            <rFont val="Tahoma"/>
            <family val="2"/>
          </rPr>
          <t>Slip Hazard
Trip Hazard
Poor Material Storage
Blocked Access
Obstructed Emergency Equipment
Poor Lighting</t>
        </r>
      </text>
    </comment>
    <comment ref="P56" authorId="0" shapeId="0" xr:uid="{7753677A-118D-4468-97D7-4C12746A5A0B}">
      <text>
        <r>
          <rPr>
            <sz val="9"/>
            <color indexed="81"/>
            <rFont val="Tahoma"/>
            <family val="2"/>
          </rPr>
          <t>Weather
Wind
Rain
Ice
Heat Stress
Cold Stress
Poor Visibility
Noise</t>
        </r>
      </text>
    </comment>
    <comment ref="P57" authorId="0" shapeId="0" xr:uid="{AE520D21-93AE-4F52-AFD0-04EA63582F33}">
      <text>
        <r>
          <rPr>
            <sz val="9"/>
            <color indexed="81"/>
            <rFont val="Tahoma"/>
            <family val="2"/>
          </rPr>
          <t>Lack of Supervision
Inadequate Oversight
Audit Finding Not Corrected
Management of Change Deficiency
Inspection Deficiency
Risk Assessment Deficiency
Inadequate Staffing
Weak Safety Culture</t>
        </r>
      </text>
    </comment>
    <comment ref="P58" authorId="0" shapeId="0" xr:uid="{AA481BA2-F4B5-4842-88A0-CA9C762D1AED}">
      <text>
        <r>
          <rPr>
            <sz val="9"/>
            <color indexed="81"/>
            <rFont val="Tahoma"/>
            <family val="2"/>
          </rPr>
          <t>Contractor Training
Contractor Supervision
Contractor Procedure
Contractor Communication
Contractor Competency</t>
        </r>
      </text>
    </comment>
    <comment ref="P59" authorId="0" shapeId="0" xr:uid="{0DBFEB36-ABBC-4AEA-B80F-BE452728B553}">
      <text>
        <r>
          <rPr>
            <sz val="9"/>
            <color indexed="81"/>
            <rFont val="Tahoma"/>
            <charset val="1"/>
          </rPr>
          <t xml:space="preserve">nsufficient Training
Inexperienced Worker
Skill Deficiency
Poor Understanding of Hazards
Inadequate Qualification
Lack of Refresher Training
</t>
        </r>
      </text>
    </comment>
    <comment ref="P60" authorId="0" shapeId="0" xr:uid="{06AD0711-3E3E-45BF-8E29-AE4457687C25}">
      <text>
        <r>
          <rPr>
            <sz val="9"/>
            <color indexed="81"/>
            <rFont val="Tahoma"/>
            <family val="2"/>
          </rPr>
          <t>Poor Job Planning
Inadequate Hazard Assessment
Missing JSA/JHA
Inadequate Permit Review
Incorrect Work Sequence
Inadequate Resources
Schedule Pressure</t>
        </r>
      </text>
    </comment>
    <comment ref="P61" authorId="0" shapeId="0" xr:uid="{B1119397-8974-4309-94DE-875761E9C78B}">
      <text>
        <r>
          <rPr>
            <sz val="9"/>
            <color indexed="81"/>
            <rFont val="Tahoma"/>
            <charset val="1"/>
          </rPr>
          <t xml:space="preserve">Poor Shift Handover
Inadequate Pre-job Brief
Miscommunication
No Communication Between Work Groups
Contractor Communication Failure
Incomplete Work Permit Discussion
</t>
        </r>
      </text>
    </comment>
    <comment ref="P62" authorId="0" shapeId="0" xr:uid="{0E97FE78-925D-42FE-9174-43A1316112A9}">
      <text>
        <r>
          <rPr>
            <sz val="9"/>
            <color indexed="81"/>
            <rFont val="Tahoma"/>
            <family val="2"/>
          </rPr>
          <t>Procedure Not Available
Procedure Not Followed
Procedure Incorrect
Procedure Outdated
Procedure Too Complex
Missing Critical Step</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Brandon, Kenneth</author>
  </authors>
  <commentList>
    <comment ref="X14" authorId="0" shapeId="0" xr:uid="{B0D96DFC-5A0B-4898-ABBB-3FC8CB3FD1BC}">
      <text>
        <r>
          <rPr>
            <b/>
            <sz val="9"/>
            <color indexed="81"/>
            <rFont val="Tahoma"/>
            <family val="2"/>
          </rPr>
          <t>Brandon, Kenneth:</t>
        </r>
        <r>
          <rPr>
            <sz val="9"/>
            <color indexed="81"/>
            <rFont val="Tahoma"/>
            <family val="2"/>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<sst xmlns="http://schemas.openxmlformats.org/spreadsheetml/2006/main" count="1257" uniqueCount="416">
  <si>
    <t>Safety Train P/D</t>
  </si>
  <si>
    <t>Safety WO P/D</t>
  </si>
  <si>
    <t>Metric</t>
  </si>
  <si>
    <t>Year To Date</t>
  </si>
  <si>
    <t>BP Target (E+C)</t>
  </si>
  <si>
    <t>Actual (E+C)</t>
  </si>
  <si>
    <t>-</t>
  </si>
  <si>
    <t>Own</t>
  </si>
  <si>
    <t>3rd Party</t>
  </si>
  <si>
    <t xml:space="preserve">LTI </t>
  </si>
  <si>
    <t>KPI</t>
  </si>
  <si>
    <t>Target</t>
  </si>
  <si>
    <t>Past Due CA</t>
  </si>
  <si>
    <t xml:space="preserve">Open Investigations </t>
  </si>
  <si>
    <t>PSIF Frequency</t>
  </si>
  <si>
    <t>PSIF</t>
  </si>
  <si>
    <t>Overall KPI Indication</t>
  </si>
  <si>
    <t>Performance Level</t>
  </si>
  <si>
    <t>Avg Participation</t>
  </si>
  <si>
    <t>MTD Total</t>
  </si>
  <si>
    <t>Total MTD</t>
  </si>
  <si>
    <t>TOTOYTD</t>
  </si>
  <si>
    <t>At-Risk guidance feedback Provided</t>
  </si>
  <si>
    <t>Positive safe feedback given</t>
  </si>
  <si>
    <t>Safety Interaction with Team Member</t>
  </si>
  <si>
    <t>Incidents reports entered into tracking</t>
  </si>
  <si>
    <t>Incidents reported by team</t>
  </si>
  <si>
    <t>Working Interface Observations</t>
  </si>
  <si>
    <t>Near Miss Corrected</t>
  </si>
  <si>
    <t>Near Miss Reported</t>
  </si>
  <si>
    <t>Near Miss Observed</t>
  </si>
  <si>
    <t>LO/TO Discrepancies corrected</t>
  </si>
  <si>
    <t>LO/TO Discrepancies observed</t>
  </si>
  <si>
    <t>LO/TO Reviewed</t>
  </si>
  <si>
    <t>Housekeeping Discrepancies Corrected</t>
  </si>
  <si>
    <t>Housekeeping Discrepancies Observed</t>
  </si>
  <si>
    <t>Housekeeping inspections performed</t>
  </si>
  <si>
    <t>PPE Discrepancies Corrected</t>
  </si>
  <si>
    <t>PPE Discrepancies Observed</t>
  </si>
  <si>
    <t>PPE Audits performed</t>
  </si>
  <si>
    <t>Permit discrepancies corrected</t>
  </si>
  <si>
    <t>Permits Audited</t>
  </si>
  <si>
    <t>Permits Issued</t>
  </si>
  <si>
    <t>At Risk Behavior Observed</t>
  </si>
  <si>
    <t>Safe Behavior Observed</t>
  </si>
  <si>
    <t>Work corrected after stoppages</t>
  </si>
  <si>
    <t>Work Stoppages due to safety</t>
  </si>
  <si>
    <t>Hand Safety Discussion</t>
  </si>
  <si>
    <t>Total YTD</t>
  </si>
  <si>
    <t>Dec</t>
  </si>
  <si>
    <t>Nov</t>
  </si>
  <si>
    <t>Oct</t>
  </si>
  <si>
    <t>Sep</t>
  </si>
  <si>
    <t>Aug</t>
  </si>
  <si>
    <t>Jul</t>
  </si>
  <si>
    <t>Jun</t>
  </si>
  <si>
    <t>May</t>
  </si>
  <si>
    <t>Apr</t>
  </si>
  <si>
    <t>Mar</t>
  </si>
  <si>
    <t>Feb</t>
  </si>
  <si>
    <t>Jan</t>
  </si>
  <si>
    <t>Personal Target Per</t>
  </si>
  <si>
    <t>Target contact number</t>
  </si>
  <si>
    <t>Number Of Trained Supervisors</t>
  </si>
  <si>
    <t>PDT</t>
  </si>
  <si>
    <t>Supervisor Safety Contact</t>
  </si>
  <si>
    <t>Jeremay Ward</t>
  </si>
  <si>
    <t>Cory Mennor</t>
  </si>
  <si>
    <t>Micha Barnes</t>
  </si>
  <si>
    <t>Darrel Lefear</t>
  </si>
  <si>
    <t>Rodney Gaspard</t>
  </si>
  <si>
    <t>Curtis Reese</t>
  </si>
  <si>
    <t>James Deshotel</t>
  </si>
  <si>
    <t>Fernando Chaves</t>
  </si>
  <si>
    <t>Robert Cooper</t>
  </si>
  <si>
    <t>Richie Watson</t>
  </si>
  <si>
    <t>Dustin Traynor</t>
  </si>
  <si>
    <t>Jessica Kafka</t>
  </si>
  <si>
    <t>Mike Casto</t>
  </si>
  <si>
    <t>Jacob Sabota</t>
  </si>
  <si>
    <t>Mike Lynn</t>
  </si>
  <si>
    <t>Chad Kelly</t>
  </si>
  <si>
    <t>Jeremy Metz</t>
  </si>
  <si>
    <t>JSAForms Filled Out</t>
  </si>
  <si>
    <t>JSA Forms Audited</t>
  </si>
  <si>
    <t>JSA discrepancies Corrected</t>
  </si>
  <si>
    <t>TOTALS</t>
  </si>
  <si>
    <t>YTD</t>
  </si>
  <si>
    <t>Hover Over Data Point For Details</t>
  </si>
  <si>
    <t>Incidents Reported</t>
  </si>
  <si>
    <t>OSHA Recordable Rate TRIR 12MRA</t>
  </si>
  <si>
    <t>OSHA Recordable Rate TRIR</t>
  </si>
  <si>
    <t>Area</t>
  </si>
  <si>
    <t>Monthly Totals By Body Part</t>
  </si>
  <si>
    <t>Wrist</t>
  </si>
  <si>
    <t>Tooth/Mouth</t>
  </si>
  <si>
    <t>Toes</t>
  </si>
  <si>
    <t>Respiratory</t>
  </si>
  <si>
    <t>Thigh</t>
  </si>
  <si>
    <t>Other</t>
  </si>
  <si>
    <t>Shoulder</t>
  </si>
  <si>
    <t>Jaw</t>
  </si>
  <si>
    <t>Ribs</t>
  </si>
  <si>
    <t>Internal</t>
  </si>
  <si>
    <t xml:space="preserve">Buttocks </t>
  </si>
  <si>
    <t>Neck</t>
  </si>
  <si>
    <t>Leg</t>
  </si>
  <si>
    <t>Knee</t>
  </si>
  <si>
    <t>Abdomen</t>
  </si>
  <si>
    <t>Head</t>
  </si>
  <si>
    <t>Body General</t>
  </si>
  <si>
    <t>Hand</t>
  </si>
  <si>
    <t>Face/Nose</t>
  </si>
  <si>
    <t>Fingers</t>
  </si>
  <si>
    <t>Back</t>
  </si>
  <si>
    <t>Feet</t>
  </si>
  <si>
    <t xml:space="preserve">Ear/Auditory </t>
  </si>
  <si>
    <t>Eye</t>
  </si>
  <si>
    <t>Ankle</t>
  </si>
  <si>
    <t xml:space="preserve">Chest </t>
  </si>
  <si>
    <t xml:space="preserve">Arm </t>
  </si>
  <si>
    <t>YTD Body Part</t>
  </si>
  <si>
    <t>Body Part Involved</t>
  </si>
  <si>
    <t>Monthly Totals By Cause</t>
  </si>
  <si>
    <t>Caught On</t>
  </si>
  <si>
    <t>Struck By</t>
  </si>
  <si>
    <t>Caught In</t>
  </si>
  <si>
    <t>Struck Against</t>
  </si>
  <si>
    <t>Fall Below</t>
  </si>
  <si>
    <t>Strain (Overexertion)</t>
  </si>
  <si>
    <t>Exposure</t>
  </si>
  <si>
    <t>Sprain</t>
  </si>
  <si>
    <t>Fall Same Level</t>
  </si>
  <si>
    <t>Slip/Trip (No Fall)</t>
  </si>
  <si>
    <t>Foreign Body</t>
  </si>
  <si>
    <t xml:space="preserve">Caught Between </t>
  </si>
  <si>
    <t>Contact With</t>
  </si>
  <si>
    <t>Contact By</t>
  </si>
  <si>
    <t>Injury Cause</t>
  </si>
  <si>
    <t xml:space="preserve">AM/NS </t>
  </si>
  <si>
    <t>Ken Brandon</t>
  </si>
  <si>
    <t xml:space="preserve">  </t>
  </si>
  <si>
    <t>John Boyd</t>
  </si>
  <si>
    <t>Incident type</t>
  </si>
  <si>
    <t xml:space="preserve">Recordable </t>
  </si>
  <si>
    <t>Restricted</t>
  </si>
  <si>
    <t>First Aid</t>
  </si>
  <si>
    <t>Property Damage</t>
  </si>
  <si>
    <t>Total</t>
  </si>
  <si>
    <t>Near Miss</t>
  </si>
  <si>
    <t>Month</t>
  </si>
  <si>
    <t>AM/NS Manhours Manhours</t>
  </si>
  <si>
    <t xml:space="preserve">Contractor Manhours </t>
  </si>
  <si>
    <t>Combined Contractor &amp; AM/NS Calvert MH</t>
  </si>
  <si>
    <t>Fatalities</t>
  </si>
  <si>
    <t>AM/NS Lost Time</t>
  </si>
  <si>
    <t>LWD/# of days away</t>
  </si>
  <si>
    <t xml:space="preserve">LTI Global </t>
  </si>
  <si>
    <t>AM/NS Restricted</t>
  </si>
  <si>
    <t>AM/NS Restricted Rate</t>
  </si>
  <si>
    <t>Restricted # of days</t>
  </si>
  <si>
    <t xml:space="preserve"> LTI/LWCR (Employee)</t>
  </si>
  <si>
    <t>AM/NS Recordables</t>
  </si>
  <si>
    <t>(RIR)Recordable Rate AM/NS</t>
  </si>
  <si>
    <t>Contractor Lost time</t>
  </si>
  <si>
    <t>Contractor LWD/# of days away</t>
  </si>
  <si>
    <t xml:space="preserve">Global LTI (Contractor) </t>
  </si>
  <si>
    <t>Contractor Restricted</t>
  </si>
  <si>
    <t>Contractor Restricted # of days</t>
  </si>
  <si>
    <t>Global LTI/LWCR (Contractor)</t>
  </si>
  <si>
    <t>Contractor Recordables</t>
  </si>
  <si>
    <t>(RIR)Recordable Rate Contractor</t>
  </si>
  <si>
    <t>LTI (Employee + Contractor)</t>
  </si>
  <si>
    <t xml:space="preserve"> LTI + RWC  (Employee + Contractor)</t>
  </si>
  <si>
    <t>Employee / Contractor Recordables</t>
  </si>
  <si>
    <t>Totals / Averages</t>
  </si>
  <si>
    <t xml:space="preserve">Global LTI + Employee) </t>
  </si>
  <si>
    <t>LTI Gobal</t>
  </si>
  <si>
    <t>LWDC (SR) AM/NS</t>
  </si>
  <si>
    <t>LWDC (SR)Cont</t>
  </si>
  <si>
    <t>Restricted Rate SR Contractors</t>
  </si>
  <si>
    <t>AM/NS First Aid Cases</t>
  </si>
  <si>
    <t>AM/NS NMR</t>
  </si>
  <si>
    <t xml:space="preserve">AM/NS First Aid Frequency </t>
  </si>
  <si>
    <t>Totals for the year</t>
  </si>
  <si>
    <t>.</t>
  </si>
  <si>
    <t xml:space="preserve">Combined Contractor &amp; </t>
  </si>
  <si>
    <t>Lost Time</t>
  </si>
  <si>
    <t xml:space="preserve"> Restricted</t>
  </si>
  <si>
    <t xml:space="preserve"> Restricted Rate</t>
  </si>
  <si>
    <t xml:space="preserve"> Recordables</t>
  </si>
  <si>
    <t xml:space="preserve">(RIR)Recordable Rate </t>
  </si>
  <si>
    <t xml:space="preserve"> Manhours Manhours</t>
  </si>
  <si>
    <t>Dixie</t>
  </si>
  <si>
    <t xml:space="preserve"> PDR</t>
  </si>
  <si>
    <t xml:space="preserve"> First Aid Cases</t>
  </si>
  <si>
    <t xml:space="preserve"> First Aid Frequency Rate</t>
  </si>
  <si>
    <t>Restricted rate  SR</t>
  </si>
  <si>
    <t>Incident</t>
  </si>
  <si>
    <t>LOC Count</t>
  </si>
  <si>
    <t>Number of Recordable Injuries</t>
  </si>
  <si>
    <t>Monthly Hours Worked (Hourly)</t>
  </si>
  <si>
    <t>Monthly Hours Worked (Salary)</t>
  </si>
  <si>
    <t>Monthly Hours Worked (Total)</t>
  </si>
  <si>
    <t>12-Month Rolling</t>
  </si>
  <si>
    <t>TRIR Calc</t>
  </si>
  <si>
    <t>LOC Rate</t>
  </si>
  <si>
    <t>Property damage rate</t>
  </si>
  <si>
    <t>First aid Rate</t>
  </si>
  <si>
    <t>Number 0f LOC</t>
  </si>
  <si>
    <t>Number of First Aids</t>
  </si>
  <si>
    <t>First Aid Case Rate</t>
  </si>
  <si>
    <t>First Aid Rate 12MRA</t>
  </si>
  <si>
    <t>Loss Of containment Rate 12MRA</t>
  </si>
  <si>
    <t>YTD 12 MRA  Rates</t>
  </si>
  <si>
    <t>Property Damage Rate</t>
  </si>
  <si>
    <t xml:space="preserve">First Aid
</t>
  </si>
  <si>
    <t xml:space="preserve"> </t>
  </si>
  <si>
    <t>LTI</t>
  </si>
  <si>
    <t>12MRA</t>
  </si>
  <si>
    <t>Near Miss Month</t>
  </si>
  <si>
    <t>Fire</t>
  </si>
  <si>
    <t>JAN</t>
  </si>
  <si>
    <t>FEB</t>
  </si>
  <si>
    <t>MAR</t>
  </si>
  <si>
    <t>APR</t>
  </si>
  <si>
    <t>MAY</t>
  </si>
  <si>
    <t>JUN</t>
  </si>
  <si>
    <t>JUL</t>
  </si>
  <si>
    <t>AUG</t>
  </si>
  <si>
    <t>SEP</t>
  </si>
  <si>
    <t>OCT</t>
  </si>
  <si>
    <t>NOV</t>
  </si>
  <si>
    <t>DEC</t>
  </si>
  <si>
    <t>Accumulating Human Error</t>
  </si>
  <si>
    <t xml:space="preserve">Environmental Excursions </t>
  </si>
  <si>
    <t xml:space="preserve">Process Safety Incidents </t>
  </si>
  <si>
    <t>Human Error</t>
  </si>
  <si>
    <t xml:space="preserve">Total EHS Incidents </t>
  </si>
  <si>
    <t xml:space="preserve">Lost time injury </t>
  </si>
  <si>
    <t xml:space="preserve">Incident </t>
  </si>
  <si>
    <t>Days Elapsed</t>
  </si>
  <si>
    <t>Days Per</t>
  </si>
  <si>
    <t>Type</t>
  </si>
  <si>
    <t>NEAR MISS/ INCIDENT TOTAL YTD</t>
  </si>
  <si>
    <t>LOC CONTRIBUTING FACTORS</t>
  </si>
  <si>
    <t>Mechanical Integrity</t>
  </si>
  <si>
    <t>Accum. Mechanical Integrity</t>
  </si>
  <si>
    <t>Actual</t>
  </si>
  <si>
    <t>Recordable Injury</t>
  </si>
  <si>
    <t>Occupational Ilness</t>
  </si>
  <si>
    <t>Powered Industrial Vehicle Accident</t>
  </si>
  <si>
    <t xml:space="preserve">Equipment Failure </t>
  </si>
  <si>
    <t xml:space="preserve">Regulatory </t>
  </si>
  <si>
    <t>PUMP</t>
  </si>
  <si>
    <t xml:space="preserve">Material </t>
  </si>
  <si>
    <t>Average Behaviors Per Incident Report</t>
  </si>
  <si>
    <t>Total Number of Behaviors</t>
  </si>
  <si>
    <t>Confined Space</t>
  </si>
  <si>
    <t>Communications Of Hazards</t>
  </si>
  <si>
    <t>Temp Extreme</t>
  </si>
  <si>
    <t>PPE Respiritory</t>
  </si>
  <si>
    <t>Housekeeping</t>
  </si>
  <si>
    <t>Ascending / Descending</t>
  </si>
  <si>
    <t>PPE Body</t>
  </si>
  <si>
    <t xml:space="preserve">Pushing &amp; Pulling </t>
  </si>
  <si>
    <t>Twisting</t>
  </si>
  <si>
    <t>Eyes On Task</t>
  </si>
  <si>
    <t>Get Assistance</t>
  </si>
  <si>
    <t>Hot work</t>
  </si>
  <si>
    <t>Lifting &amp; Lowering</t>
  </si>
  <si>
    <t>Tool Equipment Selection</t>
  </si>
  <si>
    <t>Pre &amp; Post Job Inspection</t>
  </si>
  <si>
    <t>PPE Hands</t>
  </si>
  <si>
    <t>Walking &amp; Working Surfaces</t>
  </si>
  <si>
    <t>Energy Isolation</t>
  </si>
  <si>
    <t>PPE Eye</t>
  </si>
  <si>
    <t>Pinch Points</t>
  </si>
  <si>
    <t>Eyes On Path</t>
  </si>
  <si>
    <t>Tool Use</t>
  </si>
  <si>
    <t>Line Of Fire</t>
  </si>
  <si>
    <t>Percent of Accident</t>
  </si>
  <si>
    <t>Number of Behaviors</t>
  </si>
  <si>
    <t>BEHAVIORS</t>
  </si>
  <si>
    <t>Behavior Extracted</t>
  </si>
  <si>
    <t>PARETO Of Behaviors Involved in Accidents</t>
  </si>
  <si>
    <t>Total Number of Incident Reports 2025</t>
  </si>
  <si>
    <t>Pump Bowl</t>
  </si>
  <si>
    <t>Pump Seal</t>
  </si>
  <si>
    <t>Gasket/ Fitting/ Valve</t>
  </si>
  <si>
    <t>Pipe</t>
  </si>
  <si>
    <t xml:space="preserve">Tank Weld </t>
  </si>
  <si>
    <t>Process hose</t>
  </si>
  <si>
    <t xml:space="preserve">Adgitator seal </t>
  </si>
  <si>
    <t>LOPC Failure</t>
  </si>
  <si>
    <t>Equipment Failure</t>
  </si>
  <si>
    <t xml:space="preserve">Incidents </t>
  </si>
  <si>
    <t>Rolling</t>
  </si>
  <si>
    <t xml:space="preserve">Other </t>
  </si>
  <si>
    <t>Electrical</t>
  </si>
  <si>
    <t>PRD</t>
  </si>
  <si>
    <t>Knowledge of Task</t>
  </si>
  <si>
    <t xml:space="preserve">TRIR </t>
  </si>
  <si>
    <t xml:space="preserve">First Aid Case </t>
  </si>
  <si>
    <t>LOPC</t>
  </si>
  <si>
    <t>Equipment/Property Damage Rolling</t>
  </si>
  <si>
    <t xml:space="preserve">Property Damage </t>
  </si>
  <si>
    <t>WHSE</t>
  </si>
  <si>
    <t>Maint.</t>
  </si>
  <si>
    <t>Lab</t>
  </si>
  <si>
    <t>Maint</t>
  </si>
  <si>
    <t xml:space="preserve">Safety Observation Contact </t>
  </si>
  <si>
    <t>Safety Observation Contact Process Indicators</t>
  </si>
  <si>
    <t>Spill/ Release Release</t>
  </si>
  <si>
    <t>Spill/  Release</t>
  </si>
  <si>
    <t xml:space="preserve">Pipe </t>
  </si>
  <si>
    <t xml:space="preserve">Cyclohexane </t>
  </si>
  <si>
    <t>LOPC YTD</t>
  </si>
  <si>
    <t>NBL</t>
  </si>
  <si>
    <t xml:space="preserve">Spill/  Release </t>
  </si>
  <si>
    <t>2025 Events</t>
  </si>
  <si>
    <t>Safe Act</t>
  </si>
  <si>
    <t>Safe Condition</t>
  </si>
  <si>
    <t>Unsafe Act</t>
  </si>
  <si>
    <t>Unsafe Condition</t>
  </si>
  <si>
    <t>Safe Observation</t>
  </si>
  <si>
    <t xml:space="preserve">Unsafe Observation </t>
  </si>
  <si>
    <t xml:space="preserve">Observation </t>
  </si>
  <si>
    <t>Accumulating Condition / Act</t>
  </si>
  <si>
    <t xml:space="preserve">Safe Observsation </t>
  </si>
  <si>
    <t>Recordable</t>
  </si>
  <si>
    <t xml:space="preserve">Fire
</t>
  </si>
  <si>
    <t xml:space="preserve"> Site Wide 2026 Business Plan Targets </t>
  </si>
  <si>
    <t xml:space="preserve">Property Damages </t>
  </si>
  <si>
    <t>Decrease</t>
  </si>
  <si>
    <t>Remain</t>
  </si>
  <si>
    <t>Increase</t>
  </si>
  <si>
    <t xml:space="preserve">LOPC
</t>
  </si>
  <si>
    <t>2025-0301</t>
  </si>
  <si>
    <t>2026 SAFETY DASHBOARD</t>
  </si>
  <si>
    <t>MUNDY</t>
  </si>
  <si>
    <t>Mundy</t>
  </si>
  <si>
    <t>3rd Patry</t>
  </si>
  <si>
    <t>AREA</t>
  </si>
  <si>
    <t xml:space="preserve">3rd Party </t>
  </si>
  <si>
    <t>Safe Act / Condition</t>
  </si>
  <si>
    <t>Unsafe Act/ Condition</t>
  </si>
  <si>
    <t>Building</t>
  </si>
  <si>
    <t>Chemical</t>
  </si>
  <si>
    <t>Ergonomics</t>
  </si>
  <si>
    <t>Forklift</t>
  </si>
  <si>
    <t>Housekeepng</t>
  </si>
  <si>
    <t>LOTO</t>
  </si>
  <si>
    <t>Material defect</t>
  </si>
  <si>
    <t xml:space="preserve">Material handling or lifiting </t>
  </si>
  <si>
    <t xml:space="preserve">Non work related </t>
  </si>
  <si>
    <t>PPE</t>
  </si>
  <si>
    <t>Respiratory protection</t>
  </si>
  <si>
    <t>Slip, trip, fall</t>
  </si>
  <si>
    <t>Stairs, ladders</t>
  </si>
  <si>
    <t>Tools</t>
  </si>
  <si>
    <t xml:space="preserve">Vehicle company owned </t>
  </si>
  <si>
    <t xml:space="preserve">Vehicle not company owned </t>
  </si>
  <si>
    <t>Walking working surface</t>
  </si>
  <si>
    <t>Work at elevation</t>
  </si>
  <si>
    <t>Number of Property Damage</t>
  </si>
  <si>
    <t>Number of Equipment Failure</t>
  </si>
  <si>
    <t>Equip. Rate</t>
  </si>
  <si>
    <t>Contract</t>
  </si>
  <si>
    <t>YTD 26</t>
  </si>
  <si>
    <t xml:space="preserve">PIT Incidents </t>
  </si>
  <si>
    <t>Bureau of labor Statistics industry avg.</t>
  </si>
  <si>
    <t>LCY TRIR</t>
  </si>
  <si>
    <t>Man Hours</t>
  </si>
  <si>
    <t>Property/ Equipment Damage</t>
  </si>
  <si>
    <t>PROPERTY/ EQUIP. DAMAGE YTD</t>
  </si>
  <si>
    <t xml:space="preserve">Hazardous Condition </t>
  </si>
  <si>
    <t>Hazardous Condition</t>
  </si>
  <si>
    <t>Non-Work Related</t>
  </si>
  <si>
    <t>Near-Miss</t>
  </si>
  <si>
    <t>Y2026 Rate</t>
  </si>
  <si>
    <t>Total Observations</t>
  </si>
  <si>
    <t xml:space="preserve">Property/ Equipment Damages
</t>
  </si>
  <si>
    <t>LCY Risk Indication</t>
  </si>
  <si>
    <t>Tools &amp; Equipment</t>
  </si>
  <si>
    <t xml:space="preserve">Crane </t>
  </si>
  <si>
    <t>Crane</t>
  </si>
  <si>
    <t>Week Ending 3/1/26</t>
  </si>
  <si>
    <t>Month / Mar.</t>
  </si>
  <si>
    <t>LCY EXPERIENCE 2026</t>
  </si>
  <si>
    <t>Non-Work-Related</t>
  </si>
  <si>
    <t>Equipment Damage</t>
  </si>
  <si>
    <t>Admin</t>
  </si>
  <si>
    <t xml:space="preserve">Fire system </t>
  </si>
  <si>
    <t>YR</t>
  </si>
  <si>
    <t>TIR</t>
  </si>
  <si>
    <t xml:space="preserve">Near Miss Potential </t>
  </si>
  <si>
    <t>SIF</t>
  </si>
  <si>
    <t>Lost Time Injury</t>
  </si>
  <si>
    <t xml:space="preserve">Buisness Interuption </t>
  </si>
  <si>
    <t xml:space="preserve">Near Miss Cause </t>
  </si>
  <si>
    <t xml:space="preserve">Housekeeping </t>
  </si>
  <si>
    <t xml:space="preserve">Communication </t>
  </si>
  <si>
    <t>Environmental Release</t>
  </si>
  <si>
    <t xml:space="preserve">Human Performance </t>
  </si>
  <si>
    <t xml:space="preserve">Training / Competency </t>
  </si>
  <si>
    <t xml:space="preserve">Procedures </t>
  </si>
  <si>
    <t xml:space="preserve">Design / Engineering </t>
  </si>
  <si>
    <t xml:space="preserve">Work Planning </t>
  </si>
  <si>
    <t xml:space="preserve">Environmental Conditions </t>
  </si>
  <si>
    <t xml:space="preserve">Management Systems </t>
  </si>
  <si>
    <t xml:space="preserve">Contractor Management </t>
  </si>
  <si>
    <t>Equipment / Maintenance</t>
  </si>
  <si>
    <t xml:space="preserve">Total </t>
  </si>
  <si>
    <t xml:space="preserve">HSE Incidents </t>
  </si>
  <si>
    <t xml:space="preserve">LCY ELASTOMERS LP - Baytown OH&amp;S PERFORMANCE RATES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</si>
</sst>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0.0"/>
    <numFmt numFmtId="166" formatCode="0.0%"/>
  </numFmts>
  <fonts count="103" x14ac:knownFonts="1">
    <font>
      <sz val="11"/>
      <color theme="1"/>
      <name val="Calibri"/>
      <family val="2"/>
      <scheme val="minor"/>
    </font>
    <font>
      <sz val="11"/>
      <color theme="1"/>
      <name val="Calibri"/>
      <family val="2"/>
      <scheme val="minor"/>
    </font>
    <font>
      <sz val="10"/>
      <name val="Arial"/>
      <family val="2"/>
    </font>
    <font>
      <b/>
      <sz val="14"/>
      <color theme="0"/>
      <name val="Arial"/>
      <family val="2"/>
    </font>
    <font>
      <b/>
      <sz val="26"/>
      <color theme="1"/>
      <name val="Arial"/>
      <family val="2"/>
    </font>
    <font>
      <sz val="16"/>
      <name val="Arial"/>
      <family val="2"/>
    </font>
    <font>
      <b/>
      <sz val="14"/>
      <name val="Arial"/>
      <family val="2"/>
    </font>
    <font>
      <sz val="10"/>
      <color theme="0"/>
      <name val="Arial"/>
      <family val="2"/>
    </font>
    <font>
      <b/>
      <sz val="16"/>
      <color theme="0"/>
      <name val="Arial"/>
      <family val="2"/>
    </font>
    <font>
      <b/>
      <sz val="12"/>
      <color theme="0"/>
      <name val="Arial"/>
      <family val="2"/>
    </font>
    <font>
      <b/>
      <sz val="14"/>
      <color theme="1"/>
      <name val="Arial"/>
      <family val="2"/>
    </font>
    <font>
      <b/>
      <u/>
      <sz val="14"/>
      <color theme="1"/>
      <name val="Arial"/>
      <family val="2"/>
    </font>
    <font>
      <b/>
      <sz val="16"/>
      <color rgb="FF070D13"/>
      <name val="Calibri"/>
      <family val="2"/>
    </font>
    <font>
      <sz val="20"/>
      <name val="Calibri"/>
      <family val="2"/>
      <scheme val="minor"/>
    </font>
    <font>
      <sz val="18"/>
      <name val="Calibri"/>
      <family val="2"/>
      <scheme val="minor"/>
    </font>
    <font>
      <b/>
      <sz val="18"/>
      <name val="Calibri"/>
      <family val="2"/>
      <scheme val="minor"/>
    </font>
    <font>
      <sz val="14"/>
      <color theme="0"/>
      <name val="Arial"/>
      <family val="2"/>
    </font>
    <font>
      <b/>
      <sz val="10"/>
      <name val="Arial"/>
      <family val="2"/>
    </font>
    <font>
      <b/>
      <sz val="10"/>
      <color theme="0"/>
      <name val="Arial"/>
      <family val="2"/>
    </font>
    <font>
      <b/>
      <sz val="20"/>
      <name val="Calibri"/>
      <family val="2"/>
      <scheme val="minor"/>
    </font>
    <font>
      <b/>
      <u/>
      <sz val="20"/>
      <name val="Calibri"/>
      <family val="2"/>
      <scheme val="minor"/>
    </font>
    <font>
      <sz val="36"/>
      <color theme="0"/>
      <name val="Calibri"/>
      <family val="2"/>
      <scheme val="minor"/>
    </font>
    <font>
      <b/>
      <sz val="12"/>
      <name val="Arial"/>
      <family val="2"/>
    </font>
    <font>
      <sz val="9"/>
      <color indexed="81"/>
      <name val="Tahoma"/>
      <family val="2"/>
    </font>
    <font>
      <sz val="11"/>
      <color rgb="FFFF0000"/>
      <name val="Calibri"/>
      <family val="2"/>
      <scheme val="minor"/>
    </font>
    <font>
      <b/>
      <sz val="11"/>
      <color theme="1"/>
      <name val="Calibri"/>
      <family val="2"/>
      <scheme val="minor"/>
    </font>
    <font>
      <sz val="11"/>
      <name val="Calibri"/>
      <family val="2"/>
    </font>
    <font>
      <b/>
      <sz val="18"/>
      <name val="Arial"/>
      <family val="2"/>
    </font>
    <font>
      <b/>
      <sz val="8"/>
      <color rgb="FF000000"/>
      <name val="Arial"/>
      <family val="2"/>
    </font>
    <font>
      <b/>
      <sz val="14"/>
      <color theme="1"/>
      <name val="Calibri"/>
      <family val="2"/>
      <scheme val="minor"/>
    </font>
    <font>
      <b/>
      <sz val="12"/>
      <color rgb="FF000000"/>
      <name val="Arial"/>
      <family val="2"/>
    </font>
    <font>
      <sz val="14"/>
      <color theme="1"/>
      <name val="Calibri"/>
      <family val="2"/>
      <scheme val="minor"/>
    </font>
    <font>
      <b/>
      <u/>
      <sz val="14"/>
      <color theme="1"/>
      <name val="Calibri"/>
      <family val="2"/>
      <scheme val="minor"/>
    </font>
    <font>
      <b/>
      <i/>
      <sz val="14"/>
      <color theme="0"/>
      <name val="Arial"/>
      <family val="2"/>
    </font>
    <font>
      <b/>
      <sz val="11"/>
      <color theme="1"/>
      <name val="Arial"/>
      <family val="2"/>
    </font>
    <font>
      <b/>
      <sz val="10"/>
      <color theme="1"/>
      <name val="Arial"/>
      <family val="2"/>
    </font>
    <font>
      <sz val="11"/>
      <color theme="1"/>
      <name val="Arial"/>
      <family val="2"/>
    </font>
    <font>
      <sz val="8"/>
      <name val="Arial"/>
      <family val="2"/>
    </font>
    <font>
      <sz val="9"/>
      <name val="Arial"/>
      <family val="2"/>
    </font>
    <font>
      <sz val="10"/>
      <color theme="1"/>
      <name val="Arial"/>
      <family val="2"/>
    </font>
    <font>
      <b/>
      <sz val="11"/>
      <name val="Arial"/>
      <family val="2"/>
    </font>
    <font>
      <b/>
      <u/>
      <sz val="11"/>
      <color theme="1"/>
      <name val="Arial"/>
      <family val="2"/>
    </font>
    <font>
      <b/>
      <i/>
      <sz val="12"/>
      <color theme="1"/>
      <name val="Arial"/>
      <family val="2"/>
    </font>
    <font>
      <b/>
      <i/>
      <sz val="14"/>
      <name val="Arial"/>
      <family val="2"/>
    </font>
    <font>
      <sz val="9"/>
      <color theme="1"/>
      <name val="Arial"/>
      <family val="2"/>
    </font>
    <font>
      <b/>
      <i/>
      <sz val="12"/>
      <name val="Arial"/>
      <family val="2"/>
    </font>
    <font>
      <sz val="24"/>
      <name val="Arial"/>
      <family val="2"/>
    </font>
    <font>
      <sz val="8"/>
      <name val="Calibri"/>
      <family val="2"/>
      <scheme val="minor"/>
    </font>
    <font>
      <sz val="10"/>
      <name val="Wingdings"/>
      <charset val="2"/>
    </font>
    <font>
      <sz val="11"/>
      <name val="Arial"/>
      <family val="2"/>
    </font>
    <font>
      <b/>
      <sz val="9"/>
      <color indexed="81"/>
      <name val="Tahoma"/>
      <family val="2"/>
    </font>
    <font>
      <b/>
      <sz val="9"/>
      <color indexed="9"/>
      <name val="Arial"/>
      <family val="2"/>
    </font>
    <font>
      <b/>
      <sz val="9"/>
      <name val="Arial"/>
      <family val="2"/>
    </font>
    <font>
      <sz val="10"/>
      <color rgb="FF000000"/>
      <name val="Arial"/>
      <family val="2"/>
    </font>
    <font>
      <sz val="11"/>
      <color theme="0"/>
      <name val="Arial"/>
      <family val="2"/>
    </font>
    <font>
      <b/>
      <i/>
      <sz val="12"/>
      <color theme="0"/>
      <name val="Arial"/>
      <family val="2"/>
    </font>
    <font>
      <b/>
      <i/>
      <sz val="11"/>
      <name val="Arial"/>
      <family val="2"/>
    </font>
    <font>
      <b/>
      <i/>
      <sz val="11"/>
      <color theme="0"/>
      <name val="Arial"/>
      <family val="2"/>
    </font>
    <font>
      <b/>
      <i/>
      <sz val="10"/>
      <name val="Arial"/>
      <family val="2"/>
    </font>
    <font>
      <b/>
      <u/>
      <sz val="14"/>
      <name val="Calibri"/>
      <family val="2"/>
      <scheme val="minor"/>
    </font>
    <font>
      <b/>
      <sz val="18"/>
      <color theme="0"/>
      <name val="Calibri"/>
      <family val="2"/>
      <scheme val="minor"/>
    </font>
    <font>
      <b/>
      <u/>
      <sz val="20"/>
      <color theme="1"/>
      <name val="Calibri"/>
      <family val="2"/>
      <scheme val="minor"/>
    </font>
    <font>
      <i/>
      <sz val="11"/>
      <color theme="1"/>
      <name val="Calibri"/>
      <family val="2"/>
      <scheme val="minor"/>
    </font>
    <font>
      <b/>
      <u/>
      <sz val="36"/>
      <color rgb="FFFF0000"/>
      <name val="Calibri"/>
      <family val="2"/>
      <scheme val="minor"/>
    </font>
    <font>
      <b/>
      <sz val="10"/>
      <color theme="9" tint="-0.249977111117893"/>
      <name val="Arial"/>
      <family val="2"/>
    </font>
    <font>
      <b/>
      <u/>
      <sz val="22"/>
      <color theme="1"/>
      <name val="Calibri"/>
      <family val="2"/>
      <scheme val="minor"/>
    </font>
    <font>
      <b/>
      <u/>
      <sz val="28"/>
      <color theme="1"/>
      <name val="Calibri"/>
      <family val="2"/>
      <scheme val="minor"/>
    </font>
    <font>
      <b/>
      <sz val="11"/>
      <color theme="0"/>
      <name val="Calibri"/>
      <family val="2"/>
      <scheme val="minor"/>
    </font>
    <font>
      <i/>
      <sz val="10"/>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i/>
      <sz val="11"/>
      <color rgb="FF7F7F7F"/>
      <name val="Calibri"/>
      <family val="2"/>
      <scheme val="minor"/>
    </font>
    <font>
      <sz val="11"/>
      <color theme="0"/>
      <name val="Calibri"/>
      <family val="2"/>
      <scheme val="minor"/>
    </font>
    <font>
      <sz val="10"/>
      <name val="Arial"/>
      <family val="2"/>
    </font>
    <font>
      <sz val="12"/>
      <name val="Arial"/>
      <family val="2"/>
    </font>
    <font>
      <sz val="10"/>
      <color indexed="8"/>
      <name val="Arial"/>
      <family val="2"/>
    </font>
    <font>
      <b/>
      <sz val="10"/>
      <color indexed="8"/>
      <name val="Arial"/>
      <family val="2"/>
    </font>
    <font>
      <sz val="12"/>
      <color indexed="8"/>
      <name val="Arial"/>
      <family val="2"/>
    </font>
    <font>
      <b/>
      <i/>
      <sz val="10"/>
      <color indexed="16"/>
      <name val="Arial"/>
      <family val="2"/>
    </font>
    <font>
      <b/>
      <i/>
      <sz val="14"/>
      <color indexed="16"/>
      <name val="Arial"/>
      <family val="2"/>
    </font>
    <font>
      <sz val="18"/>
      <name val="Arial"/>
      <family val="2"/>
    </font>
    <font>
      <i/>
      <sz val="11"/>
      <color theme="1"/>
      <name val="Arial"/>
      <family val="2"/>
    </font>
    <font>
      <b/>
      <sz val="18"/>
      <color indexed="16"/>
      <name val="Arial"/>
      <family val="2"/>
    </font>
    <font>
      <b/>
      <sz val="11"/>
      <color theme="0"/>
      <name val="Arial"/>
      <family val="2"/>
    </font>
    <font>
      <b/>
      <i/>
      <sz val="11"/>
      <color theme="1"/>
      <name val="Calibri"/>
      <family val="2"/>
      <scheme val="minor"/>
    </font>
    <font>
      <b/>
      <i/>
      <sz val="9"/>
      <color indexed="81"/>
      <name val="Tahoma"/>
      <family val="2"/>
    </font>
    <font>
      <sz val="9"/>
      <color indexed="81"/>
      <name val="Tahoma"/>
      <charset val="1"/>
    </font>
    <font>
      <b/>
      <sz val="14"/>
      <color rgb="FF070D13"/>
      <name val="Calibri"/>
      <family val="2"/>
    </font>
    <font>
      <b/>
      <sz val="16"/>
      <name val="Arial"/>
      <family val="2"/>
    </font>
    <font>
      <b/>
      <sz val="9"/>
      <color indexed="81"/>
      <name val="Tahoma"/>
      <charset val="1"/>
    </font>
    <font>
      <sz val="10"/>
      <color indexed="81"/>
      <name val="Tahoma"/>
      <family val="2"/>
    </font>
    <font>
      <b/>
      <sz val="10"/>
      <color indexed="81"/>
      <name val="Tahoma"/>
      <family val="2"/>
    </font>
    <font>
      <b/>
      <sz val="10"/>
      <color rgb="FFFF0000"/>
      <name val="Arial"/>
      <family val="2"/>
    </font>
    <font>
      <b/>
      <sz val="16"/>
      <color theme="1"/>
      <name val="Calibri"/>
      <family val="2"/>
      <scheme val="minor"/>
    </font>
  </fonts>
  <fills count="82">
    <fill>
      <patternFill patternType="none"/>
    </fill>
    <fill>
      <patternFill patternType="gray125"/>
    </fill>
    <fill>
      <patternFill patternType="solid">
        <fgColor rgb="FFFFDE75"/>
        <bgColor indexed="64"/>
      </patternFill>
    </fill>
    <fill>
      <patternFill patternType="solid">
        <fgColor theme="0" tint="-0.34998626667073579"/>
        <bgColor indexed="64"/>
      </patternFill>
    </fill>
    <fill>
      <patternFill patternType="solid">
        <fgColor theme="1"/>
        <bgColor indexed="64"/>
      </patternFill>
    </fill>
    <fill>
      <patternFill patternType="solid">
        <fgColor theme="3" tint="0.39997558519241921"/>
        <bgColor indexed="64"/>
      </patternFill>
    </fill>
    <fill>
      <gradientFill type="path" left="0.5" right="0.5" top="0.5" bottom="0.5">
        <stop position="0">
          <color theme="0"/>
        </stop>
        <stop position="1">
          <color rgb="FF33CC33"/>
        </stop>
      </gradientFill>
    </fill>
    <fill>
      <gradientFill type="path" left="0.5" right="0.5" top="0.5" bottom="0.5">
        <stop position="0">
          <color theme="0"/>
        </stop>
        <stop position="1">
          <color rgb="FFFF0000"/>
        </stop>
      </gradientFill>
    </fill>
    <fill>
      <gradientFill type="path" left="0.5" right="0.5" top="0.5" bottom="0.5">
        <stop position="0">
          <color theme="0"/>
        </stop>
        <stop position="1">
          <color rgb="FFFFFF00"/>
        </stop>
      </gradientFill>
    </fill>
    <fill>
      <gradientFill type="path" left="0.5" right="0.5" top="0.5" bottom="0.5">
        <stop position="0">
          <color theme="0"/>
        </stop>
        <stop position="1">
          <color rgb="FFFE9700"/>
        </stop>
      </gradientFill>
    </fill>
    <fill>
      <patternFill patternType="solid">
        <fgColor rgb="FFF8ECF0"/>
        <bgColor indexed="64"/>
      </patternFill>
    </fill>
    <fill>
      <patternFill patternType="solid">
        <fgColor theme="4" tint="-0.499984740745262"/>
        <bgColor indexed="64"/>
      </patternFill>
    </fill>
    <fill>
      <patternFill patternType="solid">
        <fgColor theme="0" tint="-0.249977111117893"/>
        <bgColor indexed="64"/>
      </patternFill>
    </fill>
    <fill>
      <gradientFill type="path" left="0.5" right="0.5" top="0.5" bottom="0.5">
        <stop position="0">
          <color theme="0"/>
        </stop>
        <stop position="1">
          <color rgb="FFFFC000"/>
        </stop>
      </gradientFill>
    </fill>
    <fill>
      <patternFill patternType="solid">
        <fgColor theme="0" tint="-0.14999847407452621"/>
        <bgColor indexed="64"/>
      </patternFill>
    </fill>
    <fill>
      <gradientFill>
        <stop position="0">
          <color theme="0"/>
        </stop>
        <stop position="1">
          <color theme="0" tint="-0.25098422193060094"/>
        </stop>
      </gradientFill>
    </fill>
    <fill>
      <patternFill patternType="solid">
        <fgColor theme="0" tint="-4.9989318521683403E-2"/>
        <bgColor indexed="64"/>
      </patternFill>
    </fill>
    <fill>
      <gradientFill>
        <stop position="0">
          <color theme="0"/>
        </stop>
        <stop position="1">
          <color theme="0" tint="-0.34900967436750391"/>
        </stop>
      </gradientFill>
    </fill>
    <fill>
      <patternFill patternType="solid">
        <fgColor rgb="FF0070C0"/>
        <bgColor indexed="64"/>
      </patternFill>
    </fill>
    <fill>
      <patternFill patternType="solid">
        <fgColor rgb="FF00B050"/>
        <bgColor indexed="64"/>
      </patternFill>
    </fill>
    <fill>
      <patternFill patternType="solid">
        <fgColor theme="0"/>
        <bgColor indexed="64"/>
      </patternFill>
    </fill>
    <fill>
      <patternFill patternType="solid">
        <fgColor theme="3" tint="0.59999389629810485"/>
        <bgColor indexed="64"/>
      </patternFill>
    </fill>
    <fill>
      <patternFill patternType="solid">
        <fgColor theme="4" tint="0.39997558519241921"/>
        <bgColor indexed="64"/>
      </patternFill>
    </fill>
    <fill>
      <patternFill patternType="solid">
        <fgColor rgb="FFFFC000"/>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6" tint="-0.249977111117893"/>
        <bgColor indexed="64"/>
      </patternFill>
    </fill>
    <fill>
      <patternFill patternType="solid">
        <fgColor theme="9" tint="-0.249977111117893"/>
        <bgColor indexed="64"/>
      </patternFill>
    </fill>
    <fill>
      <patternFill patternType="solid">
        <fgColor rgb="FF666699"/>
        <bgColor indexed="64"/>
      </patternFill>
    </fill>
    <fill>
      <patternFill patternType="solid">
        <fgColor rgb="FF92D050"/>
        <bgColor indexed="64"/>
      </patternFill>
    </fill>
    <fill>
      <patternFill patternType="solid">
        <fgColor theme="9" tint="0.39997558519241921"/>
        <bgColor indexed="64"/>
      </patternFill>
    </fill>
    <fill>
      <patternFill patternType="solid">
        <fgColor rgb="FFCC99FF"/>
        <bgColor indexed="64"/>
      </patternFill>
    </fill>
    <fill>
      <patternFill patternType="solid">
        <fgColor theme="6" tint="0.39997558519241921"/>
        <bgColor indexed="64"/>
      </patternFill>
    </fill>
    <fill>
      <patternFill patternType="solid">
        <fgColor theme="2" tint="-0.89999084444715716"/>
        <bgColor indexed="64"/>
      </patternFill>
    </fill>
    <fill>
      <patternFill patternType="solid">
        <fgColor rgb="FFFFFF00"/>
        <bgColor indexed="64"/>
      </patternFill>
    </fill>
    <fill>
      <patternFill patternType="solid">
        <fgColor theme="2" tint="-0.499984740745262"/>
        <bgColor indexed="64"/>
      </patternFill>
    </fill>
    <fill>
      <patternFill patternType="solid">
        <fgColor theme="7" tint="0.39997558519241921"/>
        <bgColor indexed="64"/>
      </patternFill>
    </fill>
    <fill>
      <patternFill patternType="solid">
        <fgColor rgb="FF339966"/>
        <bgColor indexed="64"/>
      </patternFill>
    </fill>
    <fill>
      <patternFill patternType="solid">
        <fgColor theme="5"/>
        <bgColor indexed="64"/>
      </patternFill>
    </fill>
    <fill>
      <patternFill patternType="solid">
        <fgColor theme="2" tint="-0.249977111117893"/>
        <bgColor indexed="64"/>
      </patternFill>
    </fill>
    <fill>
      <patternFill patternType="solid">
        <fgColor theme="3" tint="-0.249977111117893"/>
        <bgColor indexed="64"/>
      </patternFill>
    </fill>
    <fill>
      <patternFill patternType="solid">
        <fgColor rgb="FFFF0000"/>
        <bgColor indexed="64"/>
      </patternFill>
    </fill>
    <fill>
      <patternFill patternType="solid">
        <fgColor theme="3"/>
        <bgColor indexed="64"/>
      </patternFill>
    </fill>
    <fill>
      <patternFill patternType="solid">
        <fgColor rgb="FFC000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24"/>
      </patternFill>
    </fill>
    <fill>
      <patternFill patternType="solid">
        <fgColor indexed="22"/>
        <bgColor indexed="24"/>
      </patternFill>
    </fill>
    <fill>
      <patternFill patternType="solid">
        <fgColor indexed="22"/>
        <bgColor indexed="64"/>
      </patternFill>
    </fill>
    <fill>
      <patternFill patternType="solid">
        <fgColor theme="9"/>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9" tint="0.59999389629810485"/>
        <bgColor indexed="64"/>
      </patternFill>
    </fill>
  </fills>
  <borders count="140">
    <border>
      <left/>
      <right/>
      <top/>
      <bottom/>
      <diagonal/>
    </border>
    <border>
      <left style="thick">
        <color theme="0"/>
      </left>
      <right/>
      <top style="thick">
        <color theme="0"/>
      </top>
      <bottom/>
      <diagonal/>
    </border>
    <border>
      <left/>
      <right/>
      <top style="thick">
        <color theme="0"/>
      </top>
      <bottom/>
      <diagonal/>
    </border>
    <border>
      <left style="medium">
        <color indexed="64"/>
      </left>
      <right/>
      <top style="thick">
        <color theme="0"/>
      </top>
      <bottom style="medium">
        <color indexed="64"/>
      </bottom>
      <diagonal/>
    </border>
    <border>
      <left/>
      <right/>
      <top style="thick">
        <color theme="0"/>
      </top>
      <bottom style="medium">
        <color indexed="64"/>
      </bottom>
      <diagonal/>
    </border>
    <border>
      <left/>
      <right style="medium">
        <color indexed="64"/>
      </right>
      <top style="thick">
        <color theme="0"/>
      </top>
      <bottom style="medium">
        <color indexed="64"/>
      </bottom>
      <diagonal/>
    </border>
    <border>
      <left/>
      <right style="thin">
        <color theme="0"/>
      </right>
      <top style="thick">
        <color theme="0"/>
      </top>
      <bottom/>
      <diagonal/>
    </border>
    <border>
      <left style="thick">
        <color theme="0"/>
      </left>
      <right/>
      <top style="medium">
        <color indexed="64"/>
      </top>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right style="thin">
        <color theme="0"/>
      </right>
      <top style="medium">
        <color indexed="64"/>
      </top>
      <bottom/>
      <diagonal/>
    </border>
    <border>
      <left style="thick">
        <color theme="0"/>
      </left>
      <right/>
      <top/>
      <bottom/>
      <diagonal/>
    </border>
    <border>
      <left style="medium">
        <color indexed="64"/>
      </left>
      <right/>
      <top/>
      <bottom/>
      <diagonal/>
    </border>
    <border>
      <left/>
      <right style="medium">
        <color indexed="64"/>
      </right>
      <top/>
      <bottom/>
      <diagonal/>
    </border>
    <border>
      <left/>
      <right style="thin">
        <color theme="0"/>
      </right>
      <top/>
      <bottom/>
      <diagonal/>
    </border>
    <border>
      <left style="medium">
        <color theme="0" tint="-4.9989318521683403E-2"/>
      </left>
      <right/>
      <top style="medium">
        <color theme="0" tint="-4.9989318521683403E-2"/>
      </top>
      <bottom/>
      <diagonal/>
    </border>
    <border>
      <left/>
      <right/>
      <top style="medium">
        <color theme="0" tint="-4.9989318521683403E-2"/>
      </top>
      <bottom/>
      <diagonal/>
    </border>
    <border>
      <left/>
      <right style="medium">
        <color theme="0" tint="-4.9989318521683403E-2"/>
      </right>
      <top style="medium">
        <color theme="0" tint="-4.9989318521683403E-2"/>
      </top>
      <bottom/>
      <diagonal/>
    </border>
    <border>
      <left style="thin">
        <color theme="0"/>
      </left>
      <right/>
      <top style="thin">
        <color theme="0"/>
      </top>
      <bottom/>
      <diagonal/>
    </border>
    <border>
      <left/>
      <right/>
      <top style="thin">
        <color theme="0"/>
      </top>
      <bottom/>
      <diagonal/>
    </border>
    <border>
      <left style="medium">
        <color theme="0" tint="-4.9989318521683403E-2"/>
      </left>
      <right/>
      <top style="medium">
        <color theme="0" tint="-4.9989318521683403E-2"/>
      </top>
      <bottom style="medium">
        <color indexed="64"/>
      </bottom>
      <diagonal/>
    </border>
    <border>
      <left/>
      <right/>
      <top style="medium">
        <color theme="0" tint="-4.9989318521683403E-2"/>
      </top>
      <bottom style="medium">
        <color indexed="64"/>
      </bottom>
      <diagonal/>
    </border>
    <border>
      <left/>
      <right style="medium">
        <color theme="0" tint="-4.9989318521683403E-2"/>
      </right>
      <top style="medium">
        <color theme="0" tint="-4.9989318521683403E-2"/>
      </top>
      <bottom style="medium">
        <color indexed="64"/>
      </bottom>
      <diagonal/>
    </border>
    <border>
      <left style="medium">
        <color theme="0" tint="-4.9989318521683403E-2"/>
      </left>
      <right/>
      <top style="medium">
        <color indexed="64"/>
      </top>
      <bottom style="medium">
        <color indexed="64"/>
      </bottom>
      <diagonal/>
    </border>
    <border>
      <left/>
      <right/>
      <top style="medium">
        <color indexed="64"/>
      </top>
      <bottom style="medium">
        <color indexed="64"/>
      </bottom>
      <diagonal/>
    </border>
    <border>
      <left/>
      <right style="medium">
        <color theme="0" tint="-4.9989318521683403E-2"/>
      </right>
      <top style="medium">
        <color indexed="64"/>
      </top>
      <bottom style="medium">
        <color indexed="64"/>
      </bottom>
      <diagonal/>
    </border>
    <border>
      <left style="thin">
        <color theme="0"/>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theme="0" tint="-4.9989318521683403E-2"/>
      </left>
      <right/>
      <top/>
      <bottom/>
      <diagonal/>
    </border>
    <border>
      <left/>
      <right style="medium">
        <color theme="0" tint="-4.9989318521683403E-2"/>
      </right>
      <top/>
      <bottom/>
      <diagonal/>
    </border>
    <border>
      <left/>
      <right style="thin">
        <color theme="0"/>
      </right>
      <top style="thin">
        <color theme="0"/>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diagonal/>
    </border>
    <border>
      <left style="thin">
        <color theme="0"/>
      </left>
      <right/>
      <top/>
      <bottom style="thin">
        <color theme="0"/>
      </bottom>
      <diagonal/>
    </border>
    <border>
      <left/>
      <right style="thin">
        <color theme="0"/>
      </right>
      <top/>
      <bottom style="thin">
        <color theme="0"/>
      </bottom>
      <diagonal/>
    </border>
    <border>
      <left/>
      <right/>
      <top/>
      <bottom style="thin">
        <color theme="0"/>
      </bottom>
      <diagonal/>
    </border>
    <border>
      <left style="medium">
        <color indexed="64"/>
      </left>
      <right style="medium">
        <color indexed="64"/>
      </right>
      <top style="thin">
        <color indexed="64"/>
      </top>
      <bottom style="medium">
        <color indexed="64"/>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style="thin">
        <color theme="0"/>
      </left>
      <right style="thin">
        <color theme="0"/>
      </right>
      <top/>
      <bottom style="thin">
        <color theme="0"/>
      </bottom>
      <diagonal/>
    </border>
    <border>
      <left style="medium">
        <color theme="0" tint="-4.9989318521683403E-2"/>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theme="0" tint="-4.9989318521683403E-2"/>
      </left>
      <right/>
      <top/>
      <bottom style="medium">
        <color theme="0" tint="-4.9989318521683403E-2"/>
      </bottom>
      <diagonal/>
    </border>
    <border>
      <left/>
      <right/>
      <top/>
      <bottom style="medium">
        <color theme="0" tint="-4.9989318521683403E-2"/>
      </bottom>
      <diagonal/>
    </border>
    <border>
      <left/>
      <right style="medium">
        <color theme="0" tint="-4.9989318521683403E-2"/>
      </right>
      <top/>
      <bottom style="medium">
        <color theme="0" tint="-4.9989318521683403E-2"/>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theme="0" tint="-0.14999847407452621"/>
      </left>
      <right/>
      <top style="medium">
        <color theme="0" tint="-0.14999847407452621"/>
      </top>
      <bottom/>
      <diagonal/>
    </border>
    <border>
      <left/>
      <right/>
      <top style="medium">
        <color theme="0" tint="-0.14999847407452621"/>
      </top>
      <bottom/>
      <diagonal/>
    </border>
    <border>
      <left/>
      <right style="medium">
        <color theme="0" tint="-0.14999847407452621"/>
      </right>
      <top style="medium">
        <color theme="0" tint="-0.14999847407452621"/>
      </top>
      <bottom/>
      <diagonal/>
    </border>
    <border>
      <left style="medium">
        <color theme="0" tint="-0.14999847407452621"/>
      </left>
      <right/>
      <top/>
      <bottom/>
      <diagonal/>
    </border>
    <border>
      <left/>
      <right style="medium">
        <color theme="0" tint="-0.14999847407452621"/>
      </right>
      <top/>
      <bottom/>
      <diagonal/>
    </border>
    <border>
      <left style="thick">
        <color theme="0"/>
      </left>
      <right/>
      <top/>
      <bottom style="medium">
        <color indexed="64"/>
      </bottom>
      <diagonal/>
    </border>
    <border>
      <left style="medium">
        <color theme="0" tint="-0.14999847407452621"/>
      </left>
      <right/>
      <top/>
      <bottom style="medium">
        <color theme="0" tint="-0.14999847407452621"/>
      </bottom>
      <diagonal/>
    </border>
    <border>
      <left/>
      <right/>
      <top/>
      <bottom style="medium">
        <color theme="0" tint="-0.14999847407452621"/>
      </bottom>
      <diagonal/>
    </border>
    <border>
      <left/>
      <right style="medium">
        <color theme="0" tint="-0.14999847407452621"/>
      </right>
      <top/>
      <bottom style="medium">
        <color theme="0" tint="-0.14999847407452621"/>
      </bottom>
      <diagonal/>
    </border>
    <border>
      <left/>
      <right style="thin">
        <color theme="0"/>
      </right>
      <top/>
      <bottom style="medium">
        <color indexed="64"/>
      </bottom>
      <diagonal/>
    </border>
    <border>
      <left style="thick">
        <color theme="0"/>
      </left>
      <right/>
      <top/>
      <bottom style="thick">
        <color theme="0"/>
      </bottom>
      <diagonal/>
    </border>
    <border>
      <left/>
      <right/>
      <top/>
      <bottom style="thick">
        <color theme="0"/>
      </bottom>
      <diagonal/>
    </border>
    <border>
      <left/>
      <right style="thin">
        <color theme="0"/>
      </right>
      <top/>
      <bottom style="thick">
        <color theme="0"/>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medium">
        <color indexed="64"/>
      </bottom>
      <diagonal/>
    </border>
    <border>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right style="thin">
        <color indexed="64"/>
      </right>
      <top/>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top style="thin">
        <color indexed="64"/>
      </top>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thin">
        <color theme="0"/>
      </top>
      <bottom/>
      <diagonal/>
    </border>
    <border>
      <left/>
      <right style="thin">
        <color indexed="64"/>
      </right>
      <top/>
      <bottom style="thin">
        <color theme="0"/>
      </bottom>
      <diagonal/>
    </border>
    <border>
      <left style="thin">
        <color indexed="64"/>
      </left>
      <right/>
      <top/>
      <bottom/>
      <diagonal/>
    </border>
    <border>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top style="thin">
        <color indexed="64"/>
      </top>
      <bottom style="medium">
        <color indexed="64"/>
      </bottom>
      <diagonal/>
    </border>
    <border>
      <left style="thin">
        <color indexed="21"/>
      </left>
      <right/>
      <top style="thin">
        <color indexed="64"/>
      </top>
      <bottom style="medium">
        <color indexed="64"/>
      </bottom>
      <diagonal/>
    </border>
    <border>
      <left/>
      <right/>
      <top style="thick">
        <color indexed="21"/>
      </top>
      <bottom style="thin">
        <color indexed="64"/>
      </bottom>
      <diagonal/>
    </border>
    <border>
      <left/>
      <right style="thin">
        <color indexed="21"/>
      </right>
      <top/>
      <bottom style="thick">
        <color indexed="21"/>
      </bottom>
      <diagonal/>
    </border>
    <border>
      <left/>
      <right/>
      <top/>
      <bottom style="thick">
        <color indexed="21"/>
      </bottom>
      <diagonal/>
    </border>
    <border>
      <left style="thin">
        <color indexed="21"/>
      </left>
      <right/>
      <top/>
      <bottom style="thick">
        <color indexed="21"/>
      </bottom>
      <diagonal/>
    </border>
    <border>
      <left/>
      <right style="thin">
        <color indexed="21"/>
      </right>
      <top/>
      <bottom/>
      <diagonal/>
    </border>
    <border>
      <left/>
      <right style="thin">
        <color indexed="21"/>
      </right>
      <top/>
      <bottom style="thin">
        <color indexed="64"/>
      </bottom>
      <diagonal/>
    </border>
    <border>
      <left style="thin">
        <color indexed="21"/>
      </left>
      <right/>
      <top/>
      <bottom style="thin">
        <color indexed="64"/>
      </bottom>
      <diagonal/>
    </border>
    <border>
      <left style="thin">
        <color indexed="21"/>
      </left>
      <right/>
      <top/>
      <bottom/>
      <diagonal/>
    </border>
    <border>
      <left/>
      <right style="thin">
        <color indexed="21"/>
      </right>
      <top style="thick">
        <color indexed="21"/>
      </top>
      <bottom/>
      <diagonal/>
    </border>
    <border>
      <left/>
      <right/>
      <top style="thick">
        <color indexed="21"/>
      </top>
      <bottom/>
      <diagonal/>
    </border>
    <border>
      <left style="thin">
        <color indexed="21"/>
      </left>
      <right/>
      <top style="thick">
        <color indexed="21"/>
      </top>
      <bottom/>
      <diagonal/>
    </border>
    <border>
      <left style="medium">
        <color indexed="64"/>
      </left>
      <right style="medium">
        <color indexed="64"/>
      </right>
      <top/>
      <bottom style="thin">
        <color indexed="64"/>
      </bottom>
      <diagonal/>
    </border>
    <border>
      <left style="medium">
        <color indexed="64"/>
      </left>
      <right/>
      <top/>
      <bottom style="thin">
        <color indexed="64"/>
      </bottom>
      <diagonal/>
    </border>
  </borders>
  <cellStyleXfs count="49">
    <xf numFmtId="0" fontId="0" fillId="0" borderId="0"/>
    <xf numFmtId="0" fontId="2"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69" fillId="0" borderId="0" applyNumberFormat="0" applyFill="0" applyBorder="0" applyAlignment="0" applyProtection="0"/>
    <xf numFmtId="0" fontId="70" fillId="0" borderId="115" applyNumberFormat="0" applyFill="0" applyAlignment="0" applyProtection="0"/>
    <xf numFmtId="0" fontId="71" fillId="0" borderId="116" applyNumberFormat="0" applyFill="0" applyAlignment="0" applyProtection="0"/>
    <xf numFmtId="0" fontId="72" fillId="0" borderId="117" applyNumberFormat="0" applyFill="0" applyAlignment="0" applyProtection="0"/>
    <xf numFmtId="0" fontId="72" fillId="0" borderId="0" applyNumberFormat="0" applyFill="0" applyBorder="0" applyAlignment="0" applyProtection="0"/>
    <xf numFmtId="0" fontId="73" fillId="44" borderId="0" applyNumberFormat="0" applyBorder="0" applyAlignment="0" applyProtection="0"/>
    <xf numFmtId="0" fontId="74" fillId="45" borderId="0" applyNumberFormat="0" applyBorder="0" applyAlignment="0" applyProtection="0"/>
    <xf numFmtId="0" fontId="75" fillId="46" borderId="0" applyNumberFormat="0" applyBorder="0" applyAlignment="0" applyProtection="0"/>
    <xf numFmtId="0" fontId="76" fillId="47" borderId="118" applyNumberFormat="0" applyAlignment="0" applyProtection="0"/>
    <xf numFmtId="0" fontId="77" fillId="48" borderId="119" applyNumberFormat="0" applyAlignment="0" applyProtection="0"/>
    <xf numFmtId="0" fontId="78" fillId="48" borderId="118" applyNumberFormat="0" applyAlignment="0" applyProtection="0"/>
    <xf numFmtId="0" fontId="79" fillId="0" borderId="120" applyNumberFormat="0" applyFill="0" applyAlignment="0" applyProtection="0"/>
    <xf numFmtId="0" fontId="67" fillId="49" borderId="121" applyNumberFormat="0" applyAlignment="0" applyProtection="0"/>
    <xf numFmtId="0" fontId="24" fillId="0" borderId="0" applyNumberFormat="0" applyFill="0" applyBorder="0" applyAlignment="0" applyProtection="0"/>
    <xf numFmtId="0" fontId="1" fillId="50" borderId="122" applyNumberFormat="0" applyFont="0" applyAlignment="0" applyProtection="0"/>
    <xf numFmtId="0" fontId="80" fillId="0" borderId="0" applyNumberFormat="0" applyFill="0" applyBorder="0" applyAlignment="0" applyProtection="0"/>
    <xf numFmtId="0" fontId="25" fillId="0" borderId="123" applyNumberFormat="0" applyFill="0" applyAlignment="0" applyProtection="0"/>
    <xf numFmtId="0" fontId="81" fillId="51"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1" fillId="54" borderId="0" applyNumberFormat="0" applyBorder="0" applyAlignment="0" applyProtection="0"/>
    <xf numFmtId="0" fontId="81" fillId="55"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1" fillId="58" borderId="0" applyNumberFormat="0" applyBorder="0" applyAlignment="0" applyProtection="0"/>
    <xf numFmtId="0" fontId="81" fillId="59" borderId="0" applyNumberFormat="0" applyBorder="0" applyAlignment="0" applyProtection="0"/>
    <xf numFmtId="0" fontId="1" fillId="60" borderId="0" applyNumberFormat="0" applyBorder="0" applyAlignment="0" applyProtection="0"/>
    <xf numFmtId="0" fontId="1" fillId="61" borderId="0" applyNumberFormat="0" applyBorder="0" applyAlignment="0" applyProtection="0"/>
    <xf numFmtId="0" fontId="1" fillId="62" borderId="0" applyNumberFormat="0" applyBorder="0" applyAlignment="0" applyProtection="0"/>
    <xf numFmtId="0" fontId="81" fillId="63" borderId="0" applyNumberFormat="0" applyBorder="0" applyAlignment="0" applyProtection="0"/>
    <xf numFmtId="0" fontId="1" fillId="64" borderId="0" applyNumberFormat="0" applyBorder="0" applyAlignment="0" applyProtection="0"/>
    <xf numFmtId="0" fontId="1" fillId="65" borderId="0" applyNumberFormat="0" applyBorder="0" applyAlignment="0" applyProtection="0"/>
    <xf numFmtId="0" fontId="1" fillId="66" borderId="0" applyNumberFormat="0" applyBorder="0" applyAlignment="0" applyProtection="0"/>
    <xf numFmtId="0" fontId="81" fillId="67" borderId="0" applyNumberFormat="0" applyBorder="0" applyAlignment="0" applyProtection="0"/>
    <xf numFmtId="0" fontId="1" fillId="68" borderId="0" applyNumberFormat="0" applyBorder="0" applyAlignment="0" applyProtection="0"/>
    <xf numFmtId="0" fontId="1" fillId="69" borderId="0" applyNumberFormat="0" applyBorder="0" applyAlignment="0" applyProtection="0"/>
    <xf numFmtId="0" fontId="1" fillId="70" borderId="0" applyNumberFormat="0" applyBorder="0" applyAlignment="0" applyProtection="0"/>
    <xf numFmtId="0" fontId="81" fillId="71" borderId="0" applyNumberFormat="0" applyBorder="0" applyAlignment="0" applyProtection="0"/>
    <xf numFmtId="0" fontId="1" fillId="72" borderId="0" applyNumberFormat="0" applyBorder="0" applyAlignment="0" applyProtection="0"/>
    <xf numFmtId="0" fontId="1" fillId="73" borderId="0" applyNumberFormat="0" applyBorder="0" applyAlignment="0" applyProtection="0"/>
    <xf numFmtId="0" fontId="1" fillId="74" borderId="0" applyNumberFormat="0" applyBorder="0" applyAlignment="0" applyProtection="0"/>
    <xf numFmtId="0" fontId="82" fillId="0" borderId="0"/>
    <xf numFmtId="9" fontId="82" fillId="0" borderId="0" applyFont="0" applyFill="0" applyBorder="0" applyAlignment="0" applyProtection="0"/>
    <xf numFmtId="43" fontId="82" fillId="0" borderId="0" applyFont="0" applyFill="0" applyBorder="0" applyAlignment="0" applyProtection="0"/>
  </cellStyleXfs>
  <cellXfs count="983">
    <xf numFmtId="0" fontId="0" fillId="0" borderId="0" xfId="0"/>
    <xf numFmtId="0" fontId="2" fillId="2" borderId="0" xfId="1" applyFill="1"/>
    <xf numFmtId="0" fontId="2" fillId="3" borderId="0" xfId="1" applyFill="1"/>
    <xf numFmtId="0" fontId="2" fillId="4" borderId="1" xfId="1" applyFill="1" applyBorder="1"/>
    <xf numFmtId="0" fontId="2" fillId="4" borderId="2" xfId="1" applyFill="1" applyBorder="1"/>
    <xf numFmtId="0" fontId="2" fillId="4" borderId="3" xfId="1" applyFill="1" applyBorder="1"/>
    <xf numFmtId="0" fontId="2" fillId="4" borderId="4" xfId="1" applyFill="1" applyBorder="1"/>
    <xf numFmtId="0" fontId="2" fillId="4" borderId="5" xfId="1" applyFill="1" applyBorder="1"/>
    <xf numFmtId="0" fontId="2" fillId="4" borderId="6" xfId="1" applyFill="1" applyBorder="1"/>
    <xf numFmtId="0" fontId="2" fillId="4" borderId="7" xfId="1" applyFill="1" applyBorder="1"/>
    <xf numFmtId="0" fontId="2" fillId="4" borderId="8" xfId="1" applyFill="1" applyBorder="1"/>
    <xf numFmtId="0" fontId="2" fillId="4" borderId="9" xfId="1" applyFill="1" applyBorder="1"/>
    <xf numFmtId="0" fontId="2" fillId="4" borderId="10" xfId="1" applyFill="1" applyBorder="1"/>
    <xf numFmtId="0" fontId="2" fillId="4" borderId="11" xfId="1" applyFill="1" applyBorder="1"/>
    <xf numFmtId="0" fontId="2" fillId="4" borderId="12" xfId="1" applyFill="1" applyBorder="1"/>
    <xf numFmtId="0" fontId="2" fillId="4" borderId="0" xfId="1" applyFill="1"/>
    <xf numFmtId="0" fontId="2" fillId="4" borderId="13" xfId="1" applyFill="1" applyBorder="1"/>
    <xf numFmtId="0" fontId="2" fillId="4" borderId="14" xfId="1" applyFill="1" applyBorder="1"/>
    <xf numFmtId="0" fontId="2" fillId="4" borderId="15" xfId="1" applyFill="1" applyBorder="1"/>
    <xf numFmtId="0" fontId="3" fillId="4" borderId="0" xfId="2" applyFont="1" applyFill="1" applyAlignment="1">
      <alignment horizontal="center"/>
    </xf>
    <xf numFmtId="0" fontId="6" fillId="4" borderId="0" xfId="1" applyFont="1" applyFill="1" applyAlignment="1">
      <alignment horizontal="center" vertical="center"/>
    </xf>
    <xf numFmtId="0" fontId="2" fillId="10" borderId="30" xfId="1" applyFill="1" applyBorder="1"/>
    <xf numFmtId="0" fontId="2" fillId="10" borderId="0" xfId="1" applyFill="1"/>
    <xf numFmtId="0" fontId="3" fillId="10" borderId="31" xfId="1" applyFont="1" applyFill="1" applyBorder="1" applyAlignment="1">
      <alignment horizontal="center"/>
    </xf>
    <xf numFmtId="0" fontId="2" fillId="7" borderId="33" xfId="1" applyFill="1" applyBorder="1" applyAlignment="1">
      <alignment horizontal="center"/>
    </xf>
    <xf numFmtId="0" fontId="6" fillId="10" borderId="31" xfId="1" applyFont="1" applyFill="1" applyBorder="1"/>
    <xf numFmtId="0" fontId="2" fillId="7" borderId="34" xfId="1" applyFill="1" applyBorder="1" applyAlignment="1">
      <alignment horizontal="center"/>
    </xf>
    <xf numFmtId="0" fontId="2" fillId="7" borderId="38" xfId="1" applyFill="1" applyBorder="1" applyAlignment="1">
      <alignment horizontal="center"/>
    </xf>
    <xf numFmtId="0" fontId="2" fillId="12" borderId="19" xfId="1" applyFill="1" applyBorder="1"/>
    <xf numFmtId="0" fontId="10" fillId="12" borderId="32" xfId="1" applyFont="1" applyFill="1" applyBorder="1" applyAlignment="1">
      <alignment horizontal="center" vertical="center" textRotation="180"/>
    </xf>
    <xf numFmtId="0" fontId="11" fillId="12" borderId="39" xfId="1" applyFont="1" applyFill="1" applyBorder="1" applyAlignment="1">
      <alignment horizontal="center" vertical="center"/>
    </xf>
    <xf numFmtId="0" fontId="2" fillId="9" borderId="33" xfId="1" applyFill="1" applyBorder="1" applyAlignment="1">
      <alignment horizontal="center"/>
    </xf>
    <xf numFmtId="0" fontId="2" fillId="13" borderId="33" xfId="1" applyFill="1" applyBorder="1" applyAlignment="1">
      <alignment horizontal="center"/>
    </xf>
    <xf numFmtId="0" fontId="2" fillId="9" borderId="34" xfId="1" applyFill="1" applyBorder="1" applyAlignment="1">
      <alignment horizontal="center"/>
    </xf>
    <xf numFmtId="0" fontId="2" fillId="13" borderId="34" xfId="1" applyFill="1" applyBorder="1" applyAlignment="1">
      <alignment horizontal="center"/>
    </xf>
    <xf numFmtId="0" fontId="2" fillId="9" borderId="38" xfId="1" applyFill="1" applyBorder="1" applyAlignment="1">
      <alignment horizontal="center"/>
    </xf>
    <xf numFmtId="0" fontId="2" fillId="13" borderId="38" xfId="1" applyFill="1" applyBorder="1" applyAlignment="1">
      <alignment horizontal="center"/>
    </xf>
    <xf numFmtId="0" fontId="2" fillId="8" borderId="33" xfId="1" applyFill="1" applyBorder="1" applyAlignment="1">
      <alignment horizontal="center"/>
    </xf>
    <xf numFmtId="0" fontId="2" fillId="8" borderId="38" xfId="1" applyFill="1" applyBorder="1" applyAlignment="1">
      <alignment horizontal="center"/>
    </xf>
    <xf numFmtId="0" fontId="16" fillId="4" borderId="0" xfId="1" applyFont="1" applyFill="1" applyAlignment="1">
      <alignment horizontal="center"/>
    </xf>
    <xf numFmtId="0" fontId="17" fillId="15" borderId="45" xfId="1" applyFont="1" applyFill="1" applyBorder="1" applyAlignment="1">
      <alignment horizontal="center" vertical="center"/>
    </xf>
    <xf numFmtId="0" fontId="2" fillId="6" borderId="46" xfId="1" applyFill="1" applyBorder="1" applyAlignment="1">
      <alignment horizontal="center"/>
    </xf>
    <xf numFmtId="0" fontId="6" fillId="16" borderId="31" xfId="1" applyFont="1" applyFill="1" applyBorder="1"/>
    <xf numFmtId="0" fontId="17" fillId="17" borderId="45" xfId="1" applyFont="1" applyFill="1" applyBorder="1" applyAlignment="1">
      <alignment horizontal="center" vertical="center"/>
    </xf>
    <xf numFmtId="0" fontId="17" fillId="17" borderId="30" xfId="1" applyFont="1" applyFill="1" applyBorder="1" applyAlignment="1">
      <alignment horizontal="center" vertical="center"/>
    </xf>
    <xf numFmtId="0" fontId="17" fillId="10" borderId="0" xfId="1" applyFont="1" applyFill="1" applyAlignment="1">
      <alignment horizontal="center"/>
    </xf>
    <xf numFmtId="0" fontId="2" fillId="10" borderId="31" xfId="1" applyFill="1" applyBorder="1"/>
    <xf numFmtId="0" fontId="7" fillId="5" borderId="30" xfId="1" applyFont="1" applyFill="1" applyBorder="1" applyAlignment="1">
      <alignment horizontal="center" vertical="center"/>
    </xf>
    <xf numFmtId="0" fontId="7" fillId="5" borderId="0" xfId="1" applyFont="1" applyFill="1" applyAlignment="1">
      <alignment horizontal="center" vertical="center"/>
    </xf>
    <xf numFmtId="0" fontId="7" fillId="5" borderId="31" xfId="1" applyFont="1" applyFill="1" applyBorder="1" applyAlignment="1">
      <alignment horizontal="center" vertical="center"/>
    </xf>
    <xf numFmtId="0" fontId="2" fillId="3" borderId="47" xfId="1" applyFill="1" applyBorder="1"/>
    <xf numFmtId="0" fontId="2" fillId="3" borderId="48" xfId="1" applyFill="1" applyBorder="1"/>
    <xf numFmtId="0" fontId="2" fillId="3" borderId="49" xfId="1" applyFill="1" applyBorder="1"/>
    <xf numFmtId="1" fontId="18" fillId="4" borderId="14" xfId="1" applyNumberFormat="1" applyFont="1" applyFill="1" applyBorder="1" applyAlignment="1">
      <alignment horizontal="center"/>
    </xf>
    <xf numFmtId="0" fontId="2" fillId="4" borderId="50" xfId="1" applyFill="1" applyBorder="1"/>
    <xf numFmtId="0" fontId="2" fillId="4" borderId="51" xfId="1" applyFill="1" applyBorder="1"/>
    <xf numFmtId="0" fontId="2" fillId="4" borderId="52" xfId="1" applyFill="1" applyBorder="1"/>
    <xf numFmtId="0" fontId="2" fillId="4" borderId="0" xfId="1" applyFill="1" applyAlignment="1">
      <alignment horizontal="center" vertical="center"/>
    </xf>
    <xf numFmtId="1" fontId="18" fillId="4" borderId="0" xfId="1" applyNumberFormat="1" applyFont="1" applyFill="1" applyAlignment="1">
      <alignment horizontal="center"/>
    </xf>
    <xf numFmtId="0" fontId="2" fillId="16" borderId="0" xfId="1" applyFill="1"/>
    <xf numFmtId="0" fontId="2" fillId="16" borderId="30" xfId="1" applyFill="1" applyBorder="1"/>
    <xf numFmtId="0" fontId="2" fillId="7" borderId="46" xfId="1" applyFill="1" applyBorder="1" applyAlignment="1">
      <alignment horizontal="center"/>
    </xf>
    <xf numFmtId="0" fontId="6" fillId="16" borderId="31" xfId="1" applyFont="1" applyFill="1" applyBorder="1" applyAlignment="1">
      <alignment horizontal="left" vertical="top"/>
    </xf>
    <xf numFmtId="0" fontId="12" fillId="4" borderId="0" xfId="1" applyFont="1" applyFill="1" applyAlignment="1">
      <alignment horizontal="center" vertical="center" wrapText="1" readingOrder="1"/>
    </xf>
    <xf numFmtId="0" fontId="13" fillId="4" borderId="0" xfId="1" applyFont="1" applyFill="1" applyAlignment="1">
      <alignment horizontal="center" vertical="center"/>
    </xf>
    <xf numFmtId="9" fontId="19" fillId="4" borderId="0" xfId="1" applyNumberFormat="1" applyFont="1" applyFill="1" applyAlignment="1">
      <alignment horizontal="center" vertical="center"/>
    </xf>
    <xf numFmtId="10" fontId="20" fillId="4" borderId="0" xfId="1" applyNumberFormat="1" applyFont="1" applyFill="1" applyAlignment="1">
      <alignment horizontal="center" vertical="center"/>
    </xf>
    <xf numFmtId="0" fontId="21" fillId="4" borderId="0" xfId="1" applyFont="1" applyFill="1" applyAlignment="1">
      <alignment vertical="center"/>
    </xf>
    <xf numFmtId="0" fontId="2" fillId="8" borderId="34" xfId="1" applyFill="1" applyBorder="1" applyAlignment="1">
      <alignment horizontal="center"/>
    </xf>
    <xf numFmtId="0" fontId="2" fillId="6" borderId="38" xfId="1" applyFill="1" applyBorder="1" applyAlignment="1">
      <alignment horizontal="center"/>
    </xf>
    <xf numFmtId="1" fontId="18" fillId="4" borderId="31" xfId="1" applyNumberFormat="1" applyFont="1" applyFill="1" applyBorder="1" applyAlignment="1">
      <alignment horizontal="center"/>
    </xf>
    <xf numFmtId="0" fontId="2" fillId="6" borderId="9" xfId="1" applyFill="1" applyBorder="1"/>
    <xf numFmtId="0" fontId="2" fillId="6" borderId="10" xfId="1" applyFill="1" applyBorder="1"/>
    <xf numFmtId="0" fontId="2" fillId="8" borderId="9" xfId="1" applyFill="1" applyBorder="1"/>
    <xf numFmtId="0" fontId="2" fillId="8" borderId="10" xfId="1" applyFill="1" applyBorder="1"/>
    <xf numFmtId="0" fontId="2" fillId="9" borderId="9" xfId="1" applyFill="1" applyBorder="1"/>
    <xf numFmtId="0" fontId="2" fillId="9" borderId="10" xfId="1" applyFill="1" applyBorder="1"/>
    <xf numFmtId="0" fontId="2" fillId="7" borderId="9" xfId="1" applyFill="1" applyBorder="1"/>
    <xf numFmtId="0" fontId="2" fillId="7" borderId="10" xfId="1" applyFill="1" applyBorder="1"/>
    <xf numFmtId="0" fontId="2" fillId="6" borderId="50" xfId="1" applyFill="1" applyBorder="1"/>
    <xf numFmtId="0" fontId="2" fillId="6" borderId="52" xfId="1" applyFill="1" applyBorder="1"/>
    <xf numFmtId="0" fontId="2" fillId="8" borderId="50" xfId="1" applyFill="1" applyBorder="1"/>
    <xf numFmtId="0" fontId="2" fillId="8" borderId="52" xfId="1" applyFill="1" applyBorder="1"/>
    <xf numFmtId="0" fontId="2" fillId="9" borderId="50" xfId="1" applyFill="1" applyBorder="1"/>
    <xf numFmtId="0" fontId="2" fillId="9" borderId="52" xfId="1" applyFill="1" applyBorder="1"/>
    <xf numFmtId="0" fontId="2" fillId="7" borderId="50" xfId="1" applyFill="1" applyBorder="1"/>
    <xf numFmtId="0" fontId="2" fillId="7" borderId="52" xfId="1" applyFill="1" applyBorder="1"/>
    <xf numFmtId="0" fontId="22" fillId="3" borderId="47" xfId="1" applyFont="1" applyFill="1" applyBorder="1" applyAlignment="1">
      <alignment horizontal="center" vertical="center"/>
    </xf>
    <xf numFmtId="0" fontId="22" fillId="3" borderId="48" xfId="1" applyFont="1" applyFill="1" applyBorder="1" applyAlignment="1">
      <alignment horizontal="center" vertical="center"/>
    </xf>
    <xf numFmtId="0" fontId="6" fillId="3" borderId="49" xfId="1" applyFont="1" applyFill="1" applyBorder="1" applyAlignment="1">
      <alignment horizontal="center" vertical="center"/>
    </xf>
    <xf numFmtId="0" fontId="6" fillId="3" borderId="47" xfId="1" applyFont="1" applyFill="1" applyBorder="1" applyAlignment="1">
      <alignment horizontal="center" vertical="center"/>
    </xf>
    <xf numFmtId="0" fontId="6" fillId="3" borderId="48" xfId="1" applyFont="1" applyFill="1" applyBorder="1" applyAlignment="1">
      <alignment horizontal="center" vertical="center"/>
    </xf>
    <xf numFmtId="0" fontId="2" fillId="4" borderId="58" xfId="1" applyFill="1" applyBorder="1"/>
    <xf numFmtId="0" fontId="2" fillId="4" borderId="62" xfId="1" applyFill="1" applyBorder="1"/>
    <xf numFmtId="0" fontId="2" fillId="4" borderId="63" xfId="1" applyFill="1" applyBorder="1"/>
    <xf numFmtId="0" fontId="2" fillId="4" borderId="64" xfId="1" applyFill="1" applyBorder="1"/>
    <xf numFmtId="0" fontId="2" fillId="4" borderId="65" xfId="1" applyFill="1" applyBorder="1"/>
    <xf numFmtId="0" fontId="2" fillId="18" borderId="0" xfId="1" applyFill="1"/>
    <xf numFmtId="0" fontId="2" fillId="0" borderId="0" xfId="1"/>
    <xf numFmtId="9" fontId="2" fillId="0" borderId="0" xfId="1" applyNumberFormat="1"/>
    <xf numFmtId="0" fontId="2" fillId="0" borderId="52" xfId="1" applyBorder="1"/>
    <xf numFmtId="0" fontId="2" fillId="0" borderId="51" xfId="1" applyBorder="1"/>
    <xf numFmtId="0" fontId="2" fillId="0" borderId="50" xfId="1" applyBorder="1"/>
    <xf numFmtId="0" fontId="2" fillId="14" borderId="52" xfId="1" applyFill="1" applyBorder="1"/>
    <xf numFmtId="0" fontId="2" fillId="14" borderId="51" xfId="1" applyFill="1" applyBorder="1"/>
    <xf numFmtId="0" fontId="2" fillId="0" borderId="10" xfId="1" applyBorder="1"/>
    <xf numFmtId="0" fontId="2" fillId="0" borderId="8" xfId="1" applyBorder="1"/>
    <xf numFmtId="0" fontId="2" fillId="0" borderId="9" xfId="1" applyBorder="1"/>
    <xf numFmtId="0" fontId="2" fillId="0" borderId="13" xfId="1" applyBorder="1"/>
    <xf numFmtId="0" fontId="2" fillId="0" borderId="14" xfId="1" applyBorder="1"/>
    <xf numFmtId="0" fontId="2" fillId="0" borderId="67" xfId="1" applyBorder="1"/>
    <xf numFmtId="0" fontId="2" fillId="0" borderId="68" xfId="1" applyBorder="1"/>
    <xf numFmtId="0" fontId="2" fillId="0" borderId="69" xfId="1" applyBorder="1"/>
    <xf numFmtId="0" fontId="2" fillId="0" borderId="66" xfId="1" applyBorder="1"/>
    <xf numFmtId="0" fontId="2" fillId="0" borderId="70" xfId="1" applyBorder="1" applyAlignment="1">
      <alignment horizontal="center"/>
    </xf>
    <xf numFmtId="0" fontId="2" fillId="14" borderId="71" xfId="1" applyFill="1" applyBorder="1" applyAlignment="1">
      <alignment horizontal="center"/>
    </xf>
    <xf numFmtId="0" fontId="2" fillId="14" borderId="72" xfId="1" applyFill="1" applyBorder="1" applyAlignment="1">
      <alignment horizontal="center"/>
    </xf>
    <xf numFmtId="0" fontId="2" fillId="14" borderId="0" xfId="1" applyFill="1"/>
    <xf numFmtId="0" fontId="2" fillId="14" borderId="13" xfId="1" applyFill="1" applyBorder="1" applyAlignment="1">
      <alignment vertical="center"/>
    </xf>
    <xf numFmtId="0" fontId="2" fillId="20" borderId="71" xfId="1" applyFill="1" applyBorder="1" applyAlignment="1">
      <alignment horizontal="center"/>
    </xf>
    <xf numFmtId="0" fontId="2" fillId="20" borderId="66" xfId="1" applyFill="1" applyBorder="1" applyAlignment="1">
      <alignment horizontal="center"/>
    </xf>
    <xf numFmtId="0" fontId="2" fillId="0" borderId="13" xfId="1" applyBorder="1" applyAlignment="1">
      <alignment vertical="center"/>
    </xf>
    <xf numFmtId="0" fontId="26" fillId="0" borderId="68" xfId="1" applyFont="1" applyBorder="1" applyAlignment="1">
      <alignment vertical="center"/>
    </xf>
    <xf numFmtId="0" fontId="2" fillId="0" borderId="73" xfId="1" applyBorder="1"/>
    <xf numFmtId="0" fontId="2" fillId="0" borderId="72" xfId="1" applyBorder="1"/>
    <xf numFmtId="0" fontId="2" fillId="0" borderId="74" xfId="1" applyBorder="1" applyAlignment="1">
      <alignment horizontal="center"/>
    </xf>
    <xf numFmtId="0" fontId="2" fillId="0" borderId="46" xfId="1" applyBorder="1"/>
    <xf numFmtId="0" fontId="2" fillId="0" borderId="25" xfId="1" applyBorder="1"/>
    <xf numFmtId="0" fontId="2" fillId="0" borderId="33" xfId="1" applyBorder="1"/>
    <xf numFmtId="0" fontId="2" fillId="0" borderId="29" xfId="1" applyBorder="1" applyAlignment="1">
      <alignment horizontal="center"/>
    </xf>
    <xf numFmtId="0" fontId="2" fillId="0" borderId="25" xfId="1" applyBorder="1" applyAlignment="1">
      <alignment horizontal="center"/>
    </xf>
    <xf numFmtId="0" fontId="2" fillId="0" borderId="28" xfId="1" applyBorder="1" applyAlignment="1">
      <alignment horizontal="center"/>
    </xf>
    <xf numFmtId="0" fontId="27" fillId="0" borderId="0" xfId="1" applyFont="1"/>
    <xf numFmtId="0" fontId="1" fillId="16" borderId="0" xfId="2" applyFill="1"/>
    <xf numFmtId="0" fontId="28" fillId="16" borderId="0" xfId="1" applyFont="1" applyFill="1" applyAlignment="1">
      <alignment horizontal="right" vertical="center"/>
    </xf>
    <xf numFmtId="0" fontId="28" fillId="16" borderId="0" xfId="1" applyFont="1" applyFill="1" applyAlignment="1">
      <alignment vertical="center" wrapText="1"/>
    </xf>
    <xf numFmtId="0" fontId="28" fillId="16" borderId="0" xfId="1" applyFont="1" applyFill="1" applyAlignment="1">
      <alignment vertical="center"/>
    </xf>
    <xf numFmtId="0" fontId="26" fillId="16" borderId="0" xfId="1" applyFont="1" applyFill="1"/>
    <xf numFmtId="0" fontId="25" fillId="16" borderId="0" xfId="1" applyFont="1" applyFill="1" applyAlignment="1">
      <alignment horizontal="right"/>
    </xf>
    <xf numFmtId="0" fontId="25" fillId="16" borderId="0" xfId="1" applyFont="1" applyFill="1" applyAlignment="1">
      <alignment horizontal="left"/>
    </xf>
    <xf numFmtId="0" fontId="25" fillId="16" borderId="0" xfId="1" applyFont="1" applyFill="1"/>
    <xf numFmtId="0" fontId="2" fillId="16" borderId="0" xfId="1" applyFill="1" applyAlignment="1">
      <alignment horizontal="left"/>
    </xf>
    <xf numFmtId="0" fontId="1" fillId="16" borderId="0" xfId="2" applyFill="1" applyAlignment="1">
      <alignment horizontal="left"/>
    </xf>
    <xf numFmtId="0" fontId="29" fillId="16" borderId="0" xfId="2" applyFont="1" applyFill="1" applyAlignment="1">
      <alignment horizontal="center"/>
    </xf>
    <xf numFmtId="0" fontId="25" fillId="16" borderId="0" xfId="2" applyFont="1" applyFill="1" applyAlignment="1">
      <alignment horizontal="center"/>
    </xf>
    <xf numFmtId="0" fontId="30" fillId="16" borderId="0" xfId="1" applyFont="1" applyFill="1" applyAlignment="1">
      <alignment horizontal="center" vertical="center"/>
    </xf>
    <xf numFmtId="0" fontId="1" fillId="0" borderId="0" xfId="2"/>
    <xf numFmtId="0" fontId="1" fillId="16" borderId="0" xfId="2" applyFill="1" applyAlignment="1">
      <alignment horizontal="left" vertical="top"/>
    </xf>
    <xf numFmtId="0" fontId="31" fillId="16" borderId="0" xfId="2" applyFont="1" applyFill="1" applyAlignment="1">
      <alignment horizontal="center"/>
    </xf>
    <xf numFmtId="0" fontId="31" fillId="16" borderId="0" xfId="2" applyFont="1" applyFill="1" applyAlignment="1">
      <alignment horizontal="left" vertical="top"/>
    </xf>
    <xf numFmtId="0" fontId="31" fillId="16" borderId="0" xfId="2" applyFont="1" applyFill="1" applyAlignment="1">
      <alignment horizontal="left"/>
    </xf>
    <xf numFmtId="0" fontId="31" fillId="16" borderId="0" xfId="2" applyFont="1" applyFill="1"/>
    <xf numFmtId="0" fontId="25" fillId="16" borderId="0" xfId="1" applyFont="1" applyFill="1" applyAlignment="1">
      <alignment horizontal="center" vertical="center"/>
    </xf>
    <xf numFmtId="0" fontId="24" fillId="16" borderId="0" xfId="2" applyFont="1" applyFill="1"/>
    <xf numFmtId="0" fontId="32" fillId="16" borderId="0" xfId="2" applyFont="1" applyFill="1"/>
    <xf numFmtId="0" fontId="32" fillId="16" borderId="0" xfId="2" applyFont="1" applyFill="1" applyAlignment="1">
      <alignment horizontal="center"/>
    </xf>
    <xf numFmtId="0" fontId="11" fillId="16" borderId="0" xfId="2" applyFont="1" applyFill="1"/>
    <xf numFmtId="0" fontId="1" fillId="16" borderId="52" xfId="2" applyFill="1" applyBorder="1"/>
    <xf numFmtId="0" fontId="1" fillId="16" borderId="51" xfId="2" applyFill="1" applyBorder="1"/>
    <xf numFmtId="0" fontId="1" fillId="16" borderId="50" xfId="2" applyFill="1" applyBorder="1"/>
    <xf numFmtId="0" fontId="1" fillId="16" borderId="14" xfId="2" applyFill="1" applyBorder="1"/>
    <xf numFmtId="0" fontId="1" fillId="16" borderId="13" xfId="2" applyFill="1" applyBorder="1"/>
    <xf numFmtId="0" fontId="1" fillId="16" borderId="10" xfId="2" applyFill="1" applyBorder="1"/>
    <xf numFmtId="0" fontId="1" fillId="16" borderId="8" xfId="2" applyFill="1" applyBorder="1"/>
    <xf numFmtId="0" fontId="1" fillId="16" borderId="9" xfId="2" applyFill="1" applyBorder="1"/>
    <xf numFmtId="0" fontId="25" fillId="16" borderId="0" xfId="2" applyFont="1" applyFill="1"/>
    <xf numFmtId="0" fontId="1" fillId="16" borderId="0" xfId="2" applyFill="1" applyAlignment="1">
      <alignment horizontal="left" vertical="center" indent="4"/>
    </xf>
    <xf numFmtId="0" fontId="1" fillId="16" borderId="0" xfId="2" applyFill="1" applyAlignment="1">
      <alignment horizontal="left" vertical="center" indent="9"/>
    </xf>
    <xf numFmtId="0" fontId="1" fillId="16" borderId="0" xfId="2" applyFill="1" applyAlignment="1">
      <alignment horizontal="center" vertical="center"/>
    </xf>
    <xf numFmtId="0" fontId="29" fillId="16" borderId="0" xfId="2" applyFont="1" applyFill="1"/>
    <xf numFmtId="0" fontId="1" fillId="16" borderId="0" xfId="2" applyFill="1" applyAlignment="1">
      <alignment horizontal="center"/>
    </xf>
    <xf numFmtId="0" fontId="10" fillId="16" borderId="13" xfId="2" applyFont="1" applyFill="1" applyBorder="1"/>
    <xf numFmtId="0" fontId="2" fillId="12" borderId="77" xfId="1" applyFill="1" applyBorder="1" applyAlignment="1">
      <alignment horizontal="center" vertical="center"/>
    </xf>
    <xf numFmtId="0" fontId="43" fillId="0" borderId="0" xfId="1" applyFont="1"/>
    <xf numFmtId="0" fontId="2" fillId="12" borderId="66" xfId="1" applyFill="1" applyBorder="1" applyAlignment="1">
      <alignment horizontal="center"/>
    </xf>
    <xf numFmtId="0" fontId="2" fillId="24" borderId="66" xfId="1" applyFill="1" applyBorder="1" applyAlignment="1">
      <alignment horizontal="center" vertical="center"/>
    </xf>
    <xf numFmtId="0" fontId="2" fillId="21" borderId="66" xfId="1" applyFill="1" applyBorder="1"/>
    <xf numFmtId="0" fontId="2" fillId="5" borderId="66" xfId="1" applyFill="1" applyBorder="1" applyAlignment="1">
      <alignment horizontal="center" vertical="center"/>
    </xf>
    <xf numFmtId="0" fontId="2" fillId="0" borderId="0" xfId="1" applyAlignment="1">
      <alignment horizontal="center" vertical="center"/>
    </xf>
    <xf numFmtId="0" fontId="2" fillId="0" borderId="0" xfId="1" applyAlignment="1">
      <alignment horizontal="center" vertical="top"/>
    </xf>
    <xf numFmtId="0" fontId="2" fillId="0" borderId="0" xfId="1" applyAlignment="1">
      <alignment horizontal="center"/>
    </xf>
    <xf numFmtId="0" fontId="44" fillId="0" borderId="0" xfId="1" applyFont="1"/>
    <xf numFmtId="0" fontId="39" fillId="24" borderId="66" xfId="1" applyFont="1" applyFill="1" applyBorder="1" applyAlignment="1">
      <alignment horizontal="center" vertical="center"/>
    </xf>
    <xf numFmtId="0" fontId="45" fillId="0" borderId="0" xfId="1" applyFont="1" applyAlignment="1">
      <alignment horizontal="center"/>
    </xf>
    <xf numFmtId="0" fontId="2" fillId="12" borderId="14" xfId="1" applyFill="1" applyBorder="1" applyAlignment="1">
      <alignment horizontal="center" wrapText="1"/>
    </xf>
    <xf numFmtId="0" fontId="22" fillId="0" borderId="0" xfId="1" applyFont="1" applyAlignment="1">
      <alignment horizontal="center"/>
    </xf>
    <xf numFmtId="0" fontId="2" fillId="5" borderId="82" xfId="1" applyFill="1" applyBorder="1" applyAlignment="1">
      <alignment horizontal="center" vertical="center"/>
    </xf>
    <xf numFmtId="0" fontId="44" fillId="5" borderId="82" xfId="1" applyFont="1" applyFill="1" applyBorder="1" applyAlignment="1">
      <alignment horizontal="center" vertical="center"/>
    </xf>
    <xf numFmtId="0" fontId="2" fillId="5" borderId="78" xfId="1" applyFill="1" applyBorder="1" applyAlignment="1">
      <alignment horizontal="center" vertical="center"/>
    </xf>
    <xf numFmtId="0" fontId="2" fillId="24" borderId="70" xfId="1" applyFill="1" applyBorder="1" applyAlignment="1">
      <alignment horizontal="center" vertical="center"/>
    </xf>
    <xf numFmtId="0" fontId="2" fillId="5" borderId="72" xfId="1" applyFill="1" applyBorder="1" applyAlignment="1">
      <alignment horizontal="center" vertical="center"/>
    </xf>
    <xf numFmtId="0" fontId="2" fillId="5" borderId="74" xfId="1" applyFill="1" applyBorder="1" applyAlignment="1">
      <alignment horizontal="center" vertical="center"/>
    </xf>
    <xf numFmtId="0" fontId="2" fillId="24" borderId="72" xfId="1" applyFill="1" applyBorder="1" applyAlignment="1">
      <alignment horizontal="center" vertical="center"/>
    </xf>
    <xf numFmtId="0" fontId="44" fillId="24" borderId="72" xfId="1" applyFont="1" applyFill="1" applyBorder="1" applyAlignment="1">
      <alignment horizontal="center" vertical="center"/>
    </xf>
    <xf numFmtId="0" fontId="2" fillId="24" borderId="74" xfId="1" applyFill="1" applyBorder="1" applyAlignment="1">
      <alignment horizontal="center" vertical="center"/>
    </xf>
    <xf numFmtId="0" fontId="44" fillId="5" borderId="66" xfId="1" applyFont="1" applyFill="1" applyBorder="1" applyAlignment="1">
      <alignment horizontal="center" vertical="center"/>
    </xf>
    <xf numFmtId="0" fontId="2" fillId="24" borderId="82" xfId="1" applyFill="1" applyBorder="1" applyAlignment="1">
      <alignment horizontal="center" vertical="center"/>
    </xf>
    <xf numFmtId="0" fontId="2" fillId="24" borderId="78" xfId="1" applyFill="1" applyBorder="1" applyAlignment="1">
      <alignment horizontal="center" vertical="center"/>
    </xf>
    <xf numFmtId="0" fontId="2" fillId="5" borderId="70" xfId="1" applyFill="1" applyBorder="1" applyAlignment="1">
      <alignment horizontal="center" vertical="center"/>
    </xf>
    <xf numFmtId="3" fontId="2" fillId="0" borderId="0" xfId="1" applyNumberFormat="1"/>
    <xf numFmtId="0" fontId="2" fillId="25" borderId="0" xfId="1" applyFill="1"/>
    <xf numFmtId="0" fontId="2" fillId="25" borderId="52" xfId="1" applyFill="1" applyBorder="1"/>
    <xf numFmtId="0" fontId="2" fillId="25" borderId="51" xfId="1" applyFill="1" applyBorder="1"/>
    <xf numFmtId="0" fontId="2" fillId="25" borderId="50" xfId="1" applyFill="1" applyBorder="1"/>
    <xf numFmtId="0" fontId="2" fillId="25" borderId="14" xfId="1" applyFill="1" applyBorder="1"/>
    <xf numFmtId="0" fontId="2" fillId="25" borderId="13" xfId="1" applyFill="1" applyBorder="1"/>
    <xf numFmtId="0" fontId="2" fillId="25" borderId="10" xfId="1" applyFill="1" applyBorder="1"/>
    <xf numFmtId="0" fontId="2" fillId="25" borderId="8" xfId="1" applyFill="1" applyBorder="1"/>
    <xf numFmtId="0" fontId="2" fillId="25" borderId="9" xfId="1" applyFill="1" applyBorder="1"/>
    <xf numFmtId="0" fontId="2" fillId="21" borderId="52" xfId="1" applyFill="1" applyBorder="1"/>
    <xf numFmtId="0" fontId="2" fillId="21" borderId="51" xfId="1" applyFill="1" applyBorder="1"/>
    <xf numFmtId="0" fontId="2" fillId="22" borderId="51" xfId="1" applyFill="1" applyBorder="1"/>
    <xf numFmtId="0" fontId="2" fillId="22" borderId="50" xfId="1" applyFill="1" applyBorder="1"/>
    <xf numFmtId="0" fontId="2" fillId="21" borderId="14" xfId="1" applyFill="1" applyBorder="1"/>
    <xf numFmtId="0" fontId="2" fillId="21" borderId="0" xfId="1" applyFill="1"/>
    <xf numFmtId="0" fontId="2" fillId="21" borderId="10" xfId="1" applyFill="1" applyBorder="1"/>
    <xf numFmtId="0" fontId="2" fillId="21" borderId="8" xfId="1" applyFill="1" applyBorder="1"/>
    <xf numFmtId="0" fontId="1" fillId="0" borderId="0" xfId="2" applyAlignment="1">
      <alignment horizontal="center"/>
    </xf>
    <xf numFmtId="0" fontId="37" fillId="0" borderId="0" xfId="2" applyFont="1" applyAlignment="1">
      <alignment horizontal="center"/>
    </xf>
    <xf numFmtId="0" fontId="48" fillId="0" borderId="0" xfId="1" applyFont="1"/>
    <xf numFmtId="17" fontId="2" fillId="0" borderId="0" xfId="3" applyNumberFormat="1" applyFont="1" applyBorder="1" applyAlignment="1">
      <alignment horizontal="center" vertical="center"/>
    </xf>
    <xf numFmtId="17" fontId="39" fillId="0" borderId="0" xfId="3" applyNumberFormat="1" applyFont="1" applyBorder="1" applyAlignment="1">
      <alignment horizontal="center" vertical="center"/>
    </xf>
    <xf numFmtId="0" fontId="51" fillId="26" borderId="85" xfId="0" applyFont="1" applyFill="1" applyBorder="1" applyAlignment="1">
      <alignment horizontal="center" vertical="center" wrapText="1"/>
    </xf>
    <xf numFmtId="0" fontId="51" fillId="26" borderId="90" xfId="0" applyFont="1" applyFill="1" applyBorder="1" applyAlignment="1">
      <alignment horizontal="center" vertical="center" wrapText="1"/>
    </xf>
    <xf numFmtId="0" fontId="51" fillId="12" borderId="0" xfId="0" applyFont="1" applyFill="1" applyAlignment="1">
      <alignment horizontal="center" vertical="center" wrapText="1"/>
    </xf>
    <xf numFmtId="0" fontId="51" fillId="26" borderId="94" xfId="0" applyFont="1" applyFill="1" applyBorder="1" applyAlignment="1">
      <alignment horizontal="center" vertical="center" wrapText="1"/>
    </xf>
    <xf numFmtId="0" fontId="51" fillId="27" borderId="88" xfId="0" applyFont="1" applyFill="1" applyBorder="1" applyAlignment="1">
      <alignment horizontal="center" vertical="center" wrapText="1"/>
    </xf>
    <xf numFmtId="0" fontId="51" fillId="23" borderId="84" xfId="0" applyFont="1" applyFill="1" applyBorder="1" applyAlignment="1">
      <alignment horizontal="center" vertical="center" wrapText="1"/>
    </xf>
    <xf numFmtId="0" fontId="51" fillId="26" borderId="95" xfId="0" applyFont="1" applyFill="1" applyBorder="1" applyAlignment="1">
      <alignment horizontal="center" vertical="center" textRotation="180" wrapText="1"/>
    </xf>
    <xf numFmtId="0" fontId="51" fillId="26" borderId="84" xfId="0" applyFont="1" applyFill="1" applyBorder="1" applyAlignment="1">
      <alignment horizontal="center" vertical="center" wrapText="1"/>
    </xf>
    <xf numFmtId="0" fontId="51" fillId="28" borderId="66" xfId="0" applyFont="1" applyFill="1" applyBorder="1" applyAlignment="1">
      <alignment horizontal="center" vertical="center" wrapText="1"/>
    </xf>
    <xf numFmtId="0" fontId="51" fillId="26" borderId="88" xfId="0" applyFont="1" applyFill="1" applyBorder="1" applyAlignment="1">
      <alignment horizontal="center" vertical="center" wrapText="1"/>
    </xf>
    <xf numFmtId="0" fontId="51" fillId="26" borderId="72" xfId="0" applyFont="1" applyFill="1" applyBorder="1" applyAlignment="1">
      <alignment horizontal="center" vertical="center" wrapText="1"/>
    </xf>
    <xf numFmtId="164" fontId="51" fillId="26" borderId="96" xfId="0" applyNumberFormat="1" applyFont="1" applyFill="1" applyBorder="1" applyAlignment="1">
      <alignment horizontal="center" vertical="center" wrapText="1"/>
    </xf>
    <xf numFmtId="164" fontId="51" fillId="12" borderId="0" xfId="0" applyNumberFormat="1" applyFont="1" applyFill="1" applyAlignment="1">
      <alignment horizontal="center" vertical="center" wrapText="1"/>
    </xf>
    <xf numFmtId="0" fontId="51" fillId="27" borderId="95" xfId="0" applyFont="1" applyFill="1" applyBorder="1" applyAlignment="1">
      <alignment horizontal="center" vertical="center" textRotation="180" wrapText="1"/>
    </xf>
    <xf numFmtId="0" fontId="51" fillId="27" borderId="84" xfId="0" applyFont="1" applyFill="1" applyBorder="1" applyAlignment="1">
      <alignment horizontal="center" vertical="center" wrapText="1"/>
    </xf>
    <xf numFmtId="0" fontId="51" fillId="27" borderId="90" xfId="0" applyFont="1" applyFill="1" applyBorder="1" applyAlignment="1">
      <alignment horizontal="center" vertical="center" wrapText="1"/>
    </xf>
    <xf numFmtId="0" fontId="51" fillId="27" borderId="85" xfId="0" applyFont="1" applyFill="1" applyBorder="1" applyAlignment="1">
      <alignment horizontal="center" vertical="center" wrapText="1"/>
    </xf>
    <xf numFmtId="164" fontId="51" fillId="27" borderId="85" xfId="0" applyNumberFormat="1" applyFont="1" applyFill="1" applyBorder="1" applyAlignment="1">
      <alignment horizontal="center" vertical="center" wrapText="1"/>
    </xf>
    <xf numFmtId="0" fontId="51" fillId="23" borderId="94" xfId="0" applyFont="1" applyFill="1" applyBorder="1" applyAlignment="1">
      <alignment horizontal="center" vertical="center" wrapText="1"/>
    </xf>
    <xf numFmtId="0" fontId="51" fillId="23" borderId="97" xfId="0" applyFont="1" applyFill="1" applyBorder="1" applyAlignment="1">
      <alignment horizontal="center" vertical="center" wrapText="1"/>
    </xf>
    <xf numFmtId="0" fontId="51" fillId="0" borderId="8" xfId="0" applyFont="1" applyBorder="1" applyAlignment="1">
      <alignment horizontal="center" vertical="center" wrapText="1"/>
    </xf>
    <xf numFmtId="0" fontId="51" fillId="0" borderId="0" xfId="0" applyFont="1" applyAlignment="1">
      <alignment horizontal="center" vertical="center" wrapText="1"/>
    </xf>
    <xf numFmtId="0" fontId="52" fillId="0" borderId="0" xfId="0" applyFont="1" applyAlignment="1">
      <alignment horizontal="center" vertical="center" wrapText="1"/>
    </xf>
    <xf numFmtId="3" fontId="38" fillId="0" borderId="0" xfId="0" applyNumberFormat="1" applyFont="1" applyAlignment="1">
      <alignment horizontal="center" vertical="center" wrapText="1"/>
    </xf>
    <xf numFmtId="0" fontId="52" fillId="0" borderId="0" xfId="0" applyFont="1" applyAlignment="1">
      <alignment horizontal="center"/>
    </xf>
    <xf numFmtId="0" fontId="2" fillId="14" borderId="83" xfId="0" applyFont="1" applyFill="1" applyBorder="1" applyAlignment="1">
      <alignment horizontal="center"/>
    </xf>
    <xf numFmtId="0" fontId="2" fillId="14" borderId="69" xfId="0" applyFont="1" applyFill="1" applyBorder="1" applyAlignment="1">
      <alignment horizontal="center"/>
    </xf>
    <xf numFmtId="4" fontId="0" fillId="14" borderId="0" xfId="0" applyNumberFormat="1" applyFill="1" applyAlignment="1">
      <alignment horizontal="center"/>
    </xf>
    <xf numFmtId="3" fontId="2" fillId="14" borderId="66" xfId="0" applyNumberFormat="1" applyFont="1" applyFill="1" applyBorder="1" applyAlignment="1">
      <alignment horizontal="center" vertical="center"/>
    </xf>
    <xf numFmtId="3" fontId="2" fillId="23" borderId="71" xfId="0" applyNumberFormat="1" applyFont="1" applyFill="1" applyBorder="1" applyAlignment="1">
      <alignment horizontal="center" vertical="center"/>
    </xf>
    <xf numFmtId="0" fontId="2" fillId="29" borderId="98" xfId="0" applyFont="1" applyFill="1" applyBorder="1" applyAlignment="1">
      <alignment horizontal="center" vertical="center"/>
    </xf>
    <xf numFmtId="0" fontId="2" fillId="14" borderId="71" xfId="0" applyFont="1" applyFill="1" applyBorder="1" applyAlignment="1">
      <alignment horizontal="center" vertical="center"/>
    </xf>
    <xf numFmtId="4" fontId="2" fillId="12" borderId="66" xfId="0" applyNumberFormat="1" applyFont="1" applyFill="1" applyBorder="1" applyAlignment="1">
      <alignment horizontal="center"/>
    </xf>
    <xf numFmtId="4" fontId="2" fillId="14" borderId="69" xfId="0" applyNumberFormat="1" applyFont="1" applyFill="1" applyBorder="1" applyAlignment="1">
      <alignment horizontal="center" vertical="center"/>
    </xf>
    <xf numFmtId="0" fontId="2" fillId="14" borderId="66" xfId="0" applyFont="1" applyFill="1" applyBorder="1" applyAlignment="1">
      <alignment horizontal="center" vertical="center"/>
    </xf>
    <xf numFmtId="2" fontId="2" fillId="14" borderId="66" xfId="0" applyNumberFormat="1" applyFont="1" applyFill="1" applyBorder="1" applyAlignment="1">
      <alignment horizontal="center" vertical="center"/>
    </xf>
    <xf numFmtId="0" fontId="2" fillId="14" borderId="83" xfId="0" applyFont="1" applyFill="1" applyBorder="1" applyAlignment="1">
      <alignment horizontal="center" vertical="center"/>
    </xf>
    <xf numFmtId="164" fontId="2" fillId="14" borderId="99" xfId="0" applyNumberFormat="1" applyFont="1" applyFill="1" applyBorder="1" applyAlignment="1">
      <alignment horizontal="center" vertical="center"/>
    </xf>
    <xf numFmtId="164" fontId="2" fillId="12" borderId="0" xfId="0" applyNumberFormat="1" applyFont="1" applyFill="1" applyAlignment="1">
      <alignment horizontal="center" vertical="center"/>
    </xf>
    <xf numFmtId="0" fontId="2" fillId="30" borderId="98" xfId="0" applyFont="1" applyFill="1" applyBorder="1" applyAlignment="1">
      <alignment horizontal="center" vertical="center"/>
    </xf>
    <xf numFmtId="0" fontId="49" fillId="31" borderId="66" xfId="0" applyFont="1" applyFill="1" applyBorder="1" applyAlignment="1">
      <alignment horizontal="center" vertical="center"/>
    </xf>
    <xf numFmtId="165" fontId="2" fillId="27" borderId="69" xfId="0" applyNumberFormat="1" applyFont="1" applyFill="1" applyBorder="1" applyAlignment="1">
      <alignment horizontal="center" vertical="center"/>
    </xf>
    <xf numFmtId="0" fontId="49" fillId="31" borderId="69" xfId="0" applyFont="1" applyFill="1" applyBorder="1" applyAlignment="1">
      <alignment horizontal="center" vertical="center"/>
    </xf>
    <xf numFmtId="2" fontId="2" fillId="27" borderId="66" xfId="0" applyNumberFormat="1" applyFont="1" applyFill="1" applyBorder="1" applyAlignment="1">
      <alignment horizontal="center" vertical="center"/>
    </xf>
    <xf numFmtId="164" fontId="2" fillId="27" borderId="83" xfId="0" applyNumberFormat="1" applyFont="1" applyFill="1" applyBorder="1" applyAlignment="1">
      <alignment horizontal="center" vertical="center"/>
    </xf>
    <xf numFmtId="2" fontId="2" fillId="14" borderId="70" xfId="0" applyNumberFormat="1" applyFont="1" applyFill="1" applyBorder="1" applyAlignment="1">
      <alignment horizontal="center" vertical="center"/>
    </xf>
    <xf numFmtId="165" fontId="2" fillId="14" borderId="69" xfId="0" applyNumberFormat="1" applyFont="1" applyFill="1" applyBorder="1" applyAlignment="1">
      <alignment horizontal="center" vertical="center"/>
    </xf>
    <xf numFmtId="0" fontId="0" fillId="14" borderId="66" xfId="0" applyFill="1" applyBorder="1"/>
    <xf numFmtId="165" fontId="2" fillId="12" borderId="0" xfId="0" applyNumberFormat="1" applyFont="1" applyFill="1" applyAlignment="1">
      <alignment horizontal="center" vertical="center"/>
    </xf>
    <xf numFmtId="4" fontId="2" fillId="0" borderId="0" xfId="0" applyNumberFormat="1" applyFont="1" applyAlignment="1">
      <alignment horizontal="center" vertical="center"/>
    </xf>
    <xf numFmtId="0" fontId="49" fillId="0" borderId="0" xfId="0" applyFont="1"/>
    <xf numFmtId="0" fontId="0" fillId="0" borderId="0" xfId="0" applyAlignment="1">
      <alignment horizontal="center" vertical="center"/>
    </xf>
    <xf numFmtId="0" fontId="2" fillId="32" borderId="69" xfId="0" applyFont="1" applyFill="1" applyBorder="1" applyAlignment="1">
      <alignment horizontal="center"/>
    </xf>
    <xf numFmtId="3" fontId="2" fillId="32" borderId="70" xfId="0" applyNumberFormat="1" applyFont="1" applyFill="1" applyBorder="1" applyAlignment="1">
      <alignment horizontal="center" vertical="center"/>
    </xf>
    <xf numFmtId="3" fontId="2" fillId="30" borderId="66" xfId="0" applyNumberFormat="1" applyFont="1" applyFill="1" applyBorder="1" applyAlignment="1">
      <alignment horizontal="center" vertical="center"/>
    </xf>
    <xf numFmtId="0" fontId="2" fillId="32" borderId="71" xfId="0" applyFont="1" applyFill="1" applyBorder="1" applyAlignment="1">
      <alignment horizontal="center" vertical="center"/>
    </xf>
    <xf numFmtId="3" fontId="2" fillId="12" borderId="66" xfId="0" applyNumberFormat="1" applyFont="1" applyFill="1" applyBorder="1" applyAlignment="1">
      <alignment horizontal="center" vertical="center"/>
    </xf>
    <xf numFmtId="0" fontId="2" fillId="32" borderId="66" xfId="0" applyFont="1" applyFill="1" applyBorder="1" applyAlignment="1">
      <alignment horizontal="center" vertical="center"/>
    </xf>
    <xf numFmtId="2" fontId="2" fillId="32" borderId="66" xfId="0" applyNumberFormat="1" applyFont="1" applyFill="1" applyBorder="1" applyAlignment="1">
      <alignment horizontal="center" vertical="center"/>
    </xf>
    <xf numFmtId="0" fontId="2" fillId="32" borderId="83" xfId="0" applyFont="1" applyFill="1" applyBorder="1" applyAlignment="1">
      <alignment horizontal="center" vertical="center"/>
    </xf>
    <xf numFmtId="164" fontId="2" fillId="32" borderId="99" xfId="0" applyNumberFormat="1" applyFont="1" applyFill="1" applyBorder="1" applyAlignment="1">
      <alignment horizontal="center" vertical="center"/>
    </xf>
    <xf numFmtId="0" fontId="2" fillId="30" borderId="71" xfId="0" applyFont="1" applyFill="1" applyBorder="1" applyAlignment="1">
      <alignment horizontal="center" vertical="center"/>
    </xf>
    <xf numFmtId="0" fontId="49" fillId="12" borderId="66" xfId="0" applyFont="1" applyFill="1" applyBorder="1" applyAlignment="1">
      <alignment horizontal="center" vertical="center"/>
    </xf>
    <xf numFmtId="0" fontId="2" fillId="30" borderId="66" xfId="0" applyFont="1" applyFill="1" applyBorder="1" applyAlignment="1">
      <alignment horizontal="center" vertical="center"/>
    </xf>
    <xf numFmtId="0" fontId="49" fillId="12" borderId="69" xfId="0" applyFont="1" applyFill="1" applyBorder="1" applyAlignment="1">
      <alignment horizontal="center" vertical="center"/>
    </xf>
    <xf numFmtId="0" fontId="2" fillId="30" borderId="83" xfId="0" applyFont="1" applyFill="1" applyBorder="1" applyAlignment="1">
      <alignment horizontal="center" vertical="center"/>
    </xf>
    <xf numFmtId="0" fontId="49" fillId="14" borderId="66" xfId="0" applyFont="1" applyFill="1" applyBorder="1"/>
    <xf numFmtId="0" fontId="49" fillId="0" borderId="0" xfId="0" applyFont="1" applyAlignment="1">
      <alignment horizontal="center" vertical="center"/>
    </xf>
    <xf numFmtId="3" fontId="2" fillId="14" borderId="70" xfId="0" applyNumberFormat="1" applyFont="1" applyFill="1" applyBorder="1" applyAlignment="1">
      <alignment horizontal="center" vertical="center"/>
    </xf>
    <xf numFmtId="3" fontId="2" fillId="28" borderId="66" xfId="0" applyNumberFormat="1" applyFont="1" applyFill="1" applyBorder="1" applyAlignment="1">
      <alignment horizontal="center" vertical="center"/>
    </xf>
    <xf numFmtId="2" fontId="2" fillId="14" borderId="99" xfId="0" applyNumberFormat="1" applyFont="1" applyFill="1" applyBorder="1" applyAlignment="1">
      <alignment horizontal="center" vertical="center"/>
    </xf>
    <xf numFmtId="0" fontId="0" fillId="14" borderId="66" xfId="0" applyFill="1" applyBorder="1" applyAlignment="1">
      <alignment horizontal="center"/>
    </xf>
    <xf numFmtId="2" fontId="0" fillId="0" borderId="0" xfId="0" applyNumberFormat="1" applyAlignment="1">
      <alignment horizontal="center" vertical="center"/>
    </xf>
    <xf numFmtId="0" fontId="49" fillId="12" borderId="0" xfId="0" applyFont="1" applyFill="1" applyAlignment="1">
      <alignment horizontal="center" vertical="center"/>
    </xf>
    <xf numFmtId="3" fontId="2" fillId="14" borderId="66" xfId="0" applyNumberFormat="1" applyFont="1" applyFill="1" applyBorder="1" applyAlignment="1">
      <alignment horizontal="center"/>
    </xf>
    <xf numFmtId="0" fontId="49" fillId="14" borderId="0" xfId="0" applyFont="1" applyFill="1"/>
    <xf numFmtId="0" fontId="49" fillId="16" borderId="0" xfId="0" applyFont="1" applyFill="1"/>
    <xf numFmtId="3" fontId="53" fillId="14" borderId="0" xfId="0" applyNumberFormat="1" applyFont="1" applyFill="1" applyAlignment="1">
      <alignment horizontal="center" vertical="center"/>
    </xf>
    <xf numFmtId="0" fontId="2" fillId="0" borderId="0" xfId="0" applyFont="1"/>
    <xf numFmtId="0" fontId="2" fillId="16" borderId="0" xfId="0" applyFont="1" applyFill="1"/>
    <xf numFmtId="0" fontId="2" fillId="29" borderId="98" xfId="0" applyFont="1" applyFill="1" applyBorder="1" applyAlignment="1" applyProtection="1">
      <alignment horizontal="center" vertical="center"/>
      <protection locked="0"/>
    </xf>
    <xf numFmtId="0" fontId="2" fillId="14" borderId="71" xfId="0" applyFont="1" applyFill="1" applyBorder="1" applyAlignment="1" applyProtection="1">
      <alignment horizontal="center" vertical="center"/>
      <protection locked="0"/>
    </xf>
    <xf numFmtId="3" fontId="7" fillId="28" borderId="66" xfId="0" applyNumberFormat="1" applyFont="1" applyFill="1" applyBorder="1" applyAlignment="1" applyProtection="1">
      <alignment horizontal="center" vertical="center"/>
      <protection locked="0"/>
    </xf>
    <xf numFmtId="0" fontId="2" fillId="14" borderId="66" xfId="0" applyFont="1" applyFill="1" applyBorder="1" applyAlignment="1" applyProtection="1">
      <alignment horizontal="center" vertical="center"/>
      <protection locked="0"/>
    </xf>
    <xf numFmtId="0" fontId="2" fillId="14" borderId="83" xfId="0" applyFont="1" applyFill="1" applyBorder="1" applyAlignment="1" applyProtection="1">
      <alignment horizontal="center" vertical="center"/>
      <protection locked="0"/>
    </xf>
    <xf numFmtId="0" fontId="2" fillId="30" borderId="98" xfId="0" applyFont="1" applyFill="1" applyBorder="1" applyAlignment="1" applyProtection="1">
      <alignment horizontal="center" vertical="center"/>
      <protection locked="0"/>
    </xf>
    <xf numFmtId="0" fontId="49" fillId="31" borderId="66" xfId="0" applyFont="1" applyFill="1" applyBorder="1" applyAlignment="1" applyProtection="1">
      <alignment horizontal="center" vertical="center"/>
      <protection locked="0"/>
    </xf>
    <xf numFmtId="0" fontId="49" fillId="31" borderId="69" xfId="0" applyFont="1" applyFill="1" applyBorder="1" applyAlignment="1" applyProtection="1">
      <alignment horizontal="center" vertical="center"/>
      <protection locked="0"/>
    </xf>
    <xf numFmtId="0" fontId="2" fillId="32" borderId="71" xfId="0" applyFont="1" applyFill="1" applyBorder="1" applyAlignment="1" applyProtection="1">
      <alignment horizontal="center" vertical="center"/>
      <protection locked="0"/>
    </xf>
    <xf numFmtId="3" fontId="7" fillId="12" borderId="66" xfId="0" applyNumberFormat="1" applyFont="1" applyFill="1" applyBorder="1" applyAlignment="1" applyProtection="1">
      <alignment horizontal="center" vertical="center"/>
      <protection locked="0"/>
    </xf>
    <xf numFmtId="0" fontId="2" fillId="32" borderId="66" xfId="0" applyFont="1" applyFill="1" applyBorder="1" applyAlignment="1" applyProtection="1">
      <alignment horizontal="center" vertical="center"/>
      <protection locked="0"/>
    </xf>
    <xf numFmtId="0" fontId="2" fillId="32" borderId="83" xfId="0" applyFont="1" applyFill="1" applyBorder="1" applyAlignment="1" applyProtection="1">
      <alignment horizontal="center" vertical="center"/>
      <protection locked="0"/>
    </xf>
    <xf numFmtId="0" fontId="2" fillId="30" borderId="71" xfId="0" applyFont="1" applyFill="1" applyBorder="1" applyAlignment="1" applyProtection="1">
      <alignment horizontal="center" vertical="center"/>
      <protection locked="0"/>
    </xf>
    <xf numFmtId="0" fontId="49" fillId="12" borderId="66" xfId="0" applyFont="1" applyFill="1" applyBorder="1" applyAlignment="1" applyProtection="1">
      <alignment horizontal="center" vertical="center"/>
      <protection locked="0"/>
    </xf>
    <xf numFmtId="0" fontId="2" fillId="30" borderId="66" xfId="0" applyFont="1" applyFill="1" applyBorder="1" applyAlignment="1" applyProtection="1">
      <alignment horizontal="center" vertical="center"/>
      <protection locked="0"/>
    </xf>
    <xf numFmtId="0" fontId="49" fillId="12" borderId="69" xfId="0" applyFont="1" applyFill="1" applyBorder="1" applyAlignment="1" applyProtection="1">
      <alignment horizontal="center" vertical="center"/>
      <protection locked="0"/>
    </xf>
    <xf numFmtId="0" fontId="2" fillId="30" borderId="83" xfId="0" applyFont="1" applyFill="1" applyBorder="1" applyAlignment="1" applyProtection="1">
      <alignment horizontal="center" vertical="center"/>
      <protection locked="0"/>
    </xf>
    <xf numFmtId="0" fontId="49" fillId="14" borderId="71" xfId="0" applyFont="1" applyFill="1" applyBorder="1" applyAlignment="1" applyProtection="1">
      <alignment horizontal="center" vertical="center"/>
      <protection locked="0"/>
    </xf>
    <xf numFmtId="3" fontId="54" fillId="28" borderId="66" xfId="0" applyNumberFormat="1" applyFont="1" applyFill="1" applyBorder="1" applyAlignment="1" applyProtection="1">
      <alignment horizontal="center" vertical="center"/>
      <protection locked="0"/>
    </xf>
    <xf numFmtId="0" fontId="49" fillId="14" borderId="66" xfId="0" applyFont="1" applyFill="1" applyBorder="1" applyAlignment="1" applyProtection="1">
      <alignment horizontal="center" vertical="center"/>
      <protection locked="0"/>
    </xf>
    <xf numFmtId="0" fontId="49" fillId="14" borderId="83" xfId="0" applyFont="1" applyFill="1" applyBorder="1" applyAlignment="1" applyProtection="1">
      <alignment horizontal="center" vertical="center"/>
      <protection locked="0"/>
    </xf>
    <xf numFmtId="0" fontId="49" fillId="32" borderId="71" xfId="0" applyFont="1" applyFill="1" applyBorder="1" applyAlignment="1" applyProtection="1">
      <alignment horizontal="center" vertical="center"/>
      <protection locked="0"/>
    </xf>
    <xf numFmtId="3" fontId="54" fillId="12" borderId="66" xfId="0" applyNumberFormat="1" applyFont="1" applyFill="1" applyBorder="1" applyAlignment="1" applyProtection="1">
      <alignment horizontal="center" vertical="center"/>
      <protection locked="0"/>
    </xf>
    <xf numFmtId="0" fontId="49" fillId="32" borderId="66" xfId="0" applyFont="1" applyFill="1" applyBorder="1" applyAlignment="1" applyProtection="1">
      <alignment horizontal="center" vertical="center"/>
      <protection locked="0"/>
    </xf>
    <xf numFmtId="0" fontId="49" fillId="32" borderId="83" xfId="0" applyFont="1" applyFill="1" applyBorder="1" applyAlignment="1" applyProtection="1">
      <alignment horizontal="center" vertical="center"/>
      <protection locked="0"/>
    </xf>
    <xf numFmtId="0" fontId="49" fillId="30" borderId="71" xfId="0" applyFont="1" applyFill="1" applyBorder="1" applyAlignment="1" applyProtection="1">
      <alignment horizontal="center" vertical="center"/>
      <protection locked="0"/>
    </xf>
    <xf numFmtId="0" fontId="49" fillId="30" borderId="66" xfId="0" applyFont="1" applyFill="1" applyBorder="1" applyAlignment="1" applyProtection="1">
      <alignment horizontal="center" vertical="center"/>
      <protection locked="0"/>
    </xf>
    <xf numFmtId="0" fontId="49" fillId="30" borderId="83" xfId="0" applyFont="1" applyFill="1" applyBorder="1" applyAlignment="1" applyProtection="1">
      <alignment horizontal="center" vertical="center"/>
      <protection locked="0"/>
    </xf>
    <xf numFmtId="0" fontId="2" fillId="14" borderId="87" xfId="0" applyFont="1" applyFill="1" applyBorder="1" applyAlignment="1">
      <alignment horizontal="center"/>
    </xf>
    <xf numFmtId="0" fontId="49" fillId="14" borderId="80" xfId="0" applyFont="1" applyFill="1" applyBorder="1" applyAlignment="1" applyProtection="1">
      <alignment horizontal="center" vertical="center"/>
      <protection locked="0"/>
    </xf>
    <xf numFmtId="3" fontId="54" fillId="28" borderId="82" xfId="0" applyNumberFormat="1" applyFont="1" applyFill="1" applyBorder="1" applyAlignment="1" applyProtection="1">
      <alignment horizontal="center" vertical="center"/>
      <protection locked="0"/>
    </xf>
    <xf numFmtId="0" fontId="49" fillId="14" borderId="100" xfId="0" applyFont="1" applyFill="1" applyBorder="1" applyAlignment="1" applyProtection="1">
      <alignment horizontal="center" vertical="center"/>
      <protection locked="0"/>
    </xf>
    <xf numFmtId="0" fontId="49" fillId="14" borderId="81" xfId="0" applyFont="1" applyFill="1" applyBorder="1" applyAlignment="1" applyProtection="1">
      <alignment horizontal="center" vertical="center"/>
      <protection locked="0"/>
    </xf>
    <xf numFmtId="0" fontId="49" fillId="31" borderId="82" xfId="0" applyFont="1" applyFill="1" applyBorder="1" applyAlignment="1" applyProtection="1">
      <alignment horizontal="center" vertical="center"/>
      <protection locked="0"/>
    </xf>
    <xf numFmtId="0" fontId="49" fillId="14" borderId="87" xfId="0" applyFont="1" applyFill="1" applyBorder="1" applyAlignment="1" applyProtection="1">
      <alignment horizontal="center" vertical="center"/>
      <protection locked="0"/>
    </xf>
    <xf numFmtId="0" fontId="49" fillId="31" borderId="101" xfId="0" applyFont="1" applyFill="1" applyBorder="1" applyAlignment="1" applyProtection="1">
      <alignment horizontal="center" vertical="center"/>
      <protection locked="0"/>
    </xf>
    <xf numFmtId="0" fontId="2" fillId="0" borderId="0" xfId="0" applyFont="1" applyAlignment="1">
      <alignment horizontal="center"/>
    </xf>
    <xf numFmtId="3" fontId="2" fillId="14" borderId="87" xfId="0" applyNumberFormat="1" applyFont="1" applyFill="1" applyBorder="1" applyAlignment="1">
      <alignment horizontal="center" vertical="center"/>
    </xf>
    <xf numFmtId="164" fontId="2" fillId="0" borderId="0" xfId="0" applyNumberFormat="1" applyFont="1" applyAlignment="1">
      <alignment horizontal="center" vertical="center"/>
    </xf>
    <xf numFmtId="0" fontId="49" fillId="26" borderId="28" xfId="0" applyFont="1" applyFill="1" applyBorder="1" applyAlignment="1">
      <alignment vertical="center"/>
    </xf>
    <xf numFmtId="0" fontId="49" fillId="26" borderId="25" xfId="0" applyFont="1" applyFill="1" applyBorder="1" applyAlignment="1">
      <alignment vertical="center"/>
    </xf>
    <xf numFmtId="0" fontId="51" fillId="26" borderId="93" xfId="0" applyFont="1" applyFill="1" applyBorder="1" applyAlignment="1">
      <alignment horizontal="center" vertical="center" wrapText="1"/>
    </xf>
    <xf numFmtId="0" fontId="51" fillId="27" borderId="77" xfId="0" applyFont="1" applyFill="1" applyBorder="1" applyAlignment="1">
      <alignment horizontal="center" vertical="center" wrapText="1"/>
    </xf>
    <xf numFmtId="0" fontId="51" fillId="23" borderId="86" xfId="0" applyFont="1" applyFill="1" applyBorder="1" applyAlignment="1">
      <alignment horizontal="center" vertical="center" wrapText="1"/>
    </xf>
    <xf numFmtId="0" fontId="51" fillId="26" borderId="86" xfId="0" applyFont="1" applyFill="1" applyBorder="1" applyAlignment="1">
      <alignment horizontal="center" vertical="center" wrapText="1"/>
    </xf>
    <xf numFmtId="0" fontId="51" fillId="26" borderId="102" xfId="0" applyFont="1" applyFill="1" applyBorder="1" applyAlignment="1">
      <alignment horizontal="center" vertical="center" wrapText="1"/>
    </xf>
    <xf numFmtId="0" fontId="51" fillId="26" borderId="77" xfId="0" applyFont="1" applyFill="1" applyBorder="1" applyAlignment="1">
      <alignment horizontal="center" vertical="center" wrapText="1"/>
    </xf>
    <xf numFmtId="0" fontId="51" fillId="26" borderId="103" xfId="0" applyFont="1" applyFill="1" applyBorder="1" applyAlignment="1">
      <alignment horizontal="center" vertical="center" wrapText="1"/>
    </xf>
    <xf numFmtId="0" fontId="51" fillId="26" borderId="79" xfId="0" applyFont="1" applyFill="1" applyBorder="1" applyAlignment="1">
      <alignment horizontal="center" vertical="center" wrapText="1"/>
    </xf>
    <xf numFmtId="0" fontId="51" fillId="27" borderId="8" xfId="0" applyFont="1" applyFill="1" applyBorder="1" applyAlignment="1">
      <alignment horizontal="center" vertical="center" textRotation="180" wrapText="1"/>
    </xf>
    <xf numFmtId="0" fontId="51" fillId="27" borderId="91" xfId="0" applyFont="1" applyFill="1" applyBorder="1" applyAlignment="1">
      <alignment horizontal="center" vertical="center" wrapText="1"/>
    </xf>
    <xf numFmtId="0" fontId="51" fillId="27" borderId="104" xfId="0" applyFont="1" applyFill="1" applyBorder="1" applyAlignment="1">
      <alignment horizontal="center" vertical="center" wrapText="1"/>
    </xf>
    <xf numFmtId="0" fontId="51" fillId="27" borderId="97" xfId="0" applyFont="1" applyFill="1" applyBorder="1" applyAlignment="1">
      <alignment horizontal="center" vertical="center" wrapText="1"/>
    </xf>
    <xf numFmtId="0" fontId="51" fillId="23" borderId="90" xfId="0" applyFont="1" applyFill="1" applyBorder="1" applyAlignment="1">
      <alignment horizontal="center" vertical="center" wrapText="1"/>
    </xf>
    <xf numFmtId="0" fontId="49" fillId="16" borderId="13" xfId="0" applyFont="1" applyFill="1" applyBorder="1"/>
    <xf numFmtId="0" fontId="49" fillId="16" borderId="0" xfId="0" applyFont="1" applyFill="1" applyAlignment="1">
      <alignment horizontal="center" vertical="center"/>
    </xf>
    <xf numFmtId="0" fontId="49" fillId="23" borderId="0" xfId="0" applyFont="1" applyFill="1" applyAlignment="1">
      <alignment horizontal="center" vertical="center"/>
    </xf>
    <xf numFmtId="164" fontId="49" fillId="16" borderId="0" xfId="0" applyNumberFormat="1" applyFont="1" applyFill="1" applyAlignment="1">
      <alignment horizontal="center" vertical="center"/>
    </xf>
    <xf numFmtId="0" fontId="0" fillId="16" borderId="0" xfId="0" applyFill="1"/>
    <xf numFmtId="2" fontId="55" fillId="33" borderId="46" xfId="0" applyNumberFormat="1" applyFont="1" applyFill="1" applyBorder="1" applyAlignment="1">
      <alignment horizontal="center" vertical="center"/>
    </xf>
    <xf numFmtId="3" fontId="55" fillId="5" borderId="46" xfId="0" applyNumberFormat="1" applyFont="1" applyFill="1" applyBorder="1" applyAlignment="1">
      <alignment horizontal="center" vertical="center"/>
    </xf>
    <xf numFmtId="2" fontId="55" fillId="4" borderId="46" xfId="0" applyNumberFormat="1" applyFont="1" applyFill="1" applyBorder="1" applyAlignment="1">
      <alignment horizontal="center" vertical="center"/>
    </xf>
    <xf numFmtId="2" fontId="55" fillId="4" borderId="46" xfId="0" applyNumberFormat="1" applyFont="1" applyFill="1" applyBorder="1" applyAlignment="1">
      <alignment horizontal="center"/>
    </xf>
    <xf numFmtId="0" fontId="45" fillId="34" borderId="28" xfId="0" applyFont="1" applyFill="1" applyBorder="1" applyAlignment="1">
      <alignment horizontal="left" vertical="top"/>
    </xf>
    <xf numFmtId="0" fontId="49" fillId="34" borderId="46" xfId="0" applyFont="1" applyFill="1" applyBorder="1"/>
    <xf numFmtId="0" fontId="49" fillId="34" borderId="46" xfId="0" applyFont="1" applyFill="1" applyBorder="1" applyAlignment="1">
      <alignment horizontal="center" vertical="center"/>
    </xf>
    <xf numFmtId="0" fontId="56" fillId="34" borderId="46" xfId="0" applyFont="1" applyFill="1" applyBorder="1" applyAlignment="1">
      <alignment horizontal="center" vertical="center"/>
    </xf>
    <xf numFmtId="4" fontId="42" fillId="34" borderId="46" xfId="0" applyNumberFormat="1" applyFont="1" applyFill="1" applyBorder="1" applyAlignment="1">
      <alignment horizontal="center" vertical="center"/>
    </xf>
    <xf numFmtId="2" fontId="57" fillId="34" borderId="46" xfId="0" applyNumberFormat="1" applyFont="1" applyFill="1" applyBorder="1" applyAlignment="1">
      <alignment horizontal="center" vertical="center"/>
    </xf>
    <xf numFmtId="2" fontId="45" fillId="34" borderId="46" xfId="0" applyNumberFormat="1" applyFont="1" applyFill="1" applyBorder="1" applyAlignment="1">
      <alignment horizontal="center"/>
    </xf>
    <xf numFmtId="0" fontId="58" fillId="34" borderId="46" xfId="0" applyFont="1" applyFill="1" applyBorder="1"/>
    <xf numFmtId="0" fontId="56" fillId="20" borderId="0" xfId="0" applyFont="1" applyFill="1" applyAlignment="1">
      <alignment horizontal="center" vertical="center"/>
    </xf>
    <xf numFmtId="2" fontId="45" fillId="34" borderId="46" xfId="0" applyNumberFormat="1" applyFont="1" applyFill="1" applyBorder="1" applyAlignment="1">
      <alignment horizontal="center" vertical="center"/>
    </xf>
    <xf numFmtId="2" fontId="42" fillId="34" borderId="46" xfId="0" applyNumberFormat="1" applyFont="1" applyFill="1" applyBorder="1" applyAlignment="1">
      <alignment horizontal="center" vertical="center"/>
    </xf>
    <xf numFmtId="0" fontId="56" fillId="34" borderId="46" xfId="0" applyFont="1" applyFill="1" applyBorder="1"/>
    <xf numFmtId="2" fontId="49" fillId="0" borderId="0" xfId="0" applyNumberFormat="1" applyFont="1" applyAlignment="1">
      <alignment horizontal="center" vertical="center"/>
    </xf>
    <xf numFmtId="164" fontId="49" fillId="0" borderId="0" xfId="0" applyNumberFormat="1" applyFont="1" applyAlignment="1">
      <alignment horizontal="center" vertical="center"/>
    </xf>
    <xf numFmtId="2" fontId="49" fillId="0" borderId="0" xfId="0" applyNumberFormat="1" applyFont="1"/>
    <xf numFmtId="0" fontId="49" fillId="0" borderId="0" xfId="0" applyFont="1" applyAlignment="1">
      <alignment horizontal="center" vertical="center" wrapText="1"/>
    </xf>
    <xf numFmtId="0" fontId="49" fillId="35" borderId="85" xfId="0" applyFont="1" applyFill="1" applyBorder="1" applyAlignment="1">
      <alignment horizontal="center" vertical="center" wrapText="1"/>
    </xf>
    <xf numFmtId="0" fontId="49" fillId="35" borderId="84" xfId="0" applyFont="1" applyFill="1" applyBorder="1" applyAlignment="1">
      <alignment horizontal="center" vertical="center" wrapText="1"/>
    </xf>
    <xf numFmtId="0" fontId="49" fillId="36" borderId="33" xfId="0" applyFont="1" applyFill="1" applyBorder="1" applyAlignment="1">
      <alignment horizontal="center" vertical="center" wrapText="1"/>
    </xf>
    <xf numFmtId="0" fontId="49" fillId="37" borderId="96" xfId="0" applyFont="1" applyFill="1" applyBorder="1" applyAlignment="1">
      <alignment horizontal="center" vertical="center" wrapText="1"/>
    </xf>
    <xf numFmtId="0" fontId="49" fillId="38" borderId="85" xfId="0" applyFont="1" applyFill="1" applyBorder="1" applyAlignment="1">
      <alignment horizontal="center" vertical="center" wrapText="1"/>
    </xf>
    <xf numFmtId="0" fontId="49" fillId="38" borderId="84" xfId="0" applyFont="1" applyFill="1" applyBorder="1" applyAlignment="1">
      <alignment horizontal="center" vertical="center" wrapText="1"/>
    </xf>
    <xf numFmtId="0" fontId="49" fillId="0" borderId="0" xfId="0" applyFont="1" applyAlignment="1">
      <alignment horizontal="center" wrapText="1"/>
    </xf>
    <xf numFmtId="164" fontId="49" fillId="24" borderId="85" xfId="0" applyNumberFormat="1" applyFont="1" applyFill="1" applyBorder="1" applyAlignment="1">
      <alignment horizontal="center" vertical="center"/>
    </xf>
    <xf numFmtId="0" fontId="49" fillId="24" borderId="10" xfId="0" applyFont="1" applyFill="1" applyBorder="1" applyAlignment="1">
      <alignment horizontal="center" vertical="center" wrapText="1"/>
    </xf>
    <xf numFmtId="4" fontId="49" fillId="39" borderId="83" xfId="0" applyNumberFormat="1" applyFont="1" applyFill="1" applyBorder="1" applyAlignment="1">
      <alignment horizontal="center" vertical="center"/>
    </xf>
    <xf numFmtId="2" fontId="49" fillId="39" borderId="71" xfId="0" applyNumberFormat="1" applyFont="1" applyFill="1" applyBorder="1" applyAlignment="1">
      <alignment horizontal="center" vertical="center"/>
    </xf>
    <xf numFmtId="4" fontId="49" fillId="36" borderId="68" xfId="0" applyNumberFormat="1" applyFont="1" applyFill="1" applyBorder="1" applyAlignment="1">
      <alignment horizontal="center" vertical="center"/>
    </xf>
    <xf numFmtId="0" fontId="49" fillId="36" borderId="68" xfId="0" applyFont="1" applyFill="1" applyBorder="1" applyAlignment="1">
      <alignment horizontal="center" vertical="center"/>
    </xf>
    <xf numFmtId="0" fontId="49" fillId="37" borderId="99" xfId="0" applyFont="1" applyFill="1" applyBorder="1" applyAlignment="1">
      <alignment horizontal="center" vertical="center"/>
    </xf>
    <xf numFmtId="0" fontId="49" fillId="38" borderId="83" xfId="0" applyFont="1" applyFill="1" applyBorder="1" applyAlignment="1">
      <alignment horizontal="center" wrapText="1"/>
    </xf>
    <xf numFmtId="2" fontId="49" fillId="38" borderId="71" xfId="0" applyNumberFormat="1" applyFont="1" applyFill="1" applyBorder="1" applyAlignment="1">
      <alignment horizontal="center" wrapText="1"/>
    </xf>
    <xf numFmtId="164" fontId="49" fillId="24" borderId="83" xfId="0" applyNumberFormat="1" applyFont="1" applyFill="1" applyBorder="1" applyAlignment="1">
      <alignment horizontal="center" vertical="center"/>
    </xf>
    <xf numFmtId="164" fontId="49" fillId="24" borderId="71" xfId="0" applyNumberFormat="1" applyFont="1" applyFill="1" applyBorder="1" applyAlignment="1">
      <alignment horizontal="center"/>
    </xf>
    <xf numFmtId="2" fontId="49" fillId="36" borderId="68" xfId="0" applyNumberFormat="1" applyFont="1" applyFill="1" applyBorder="1" applyAlignment="1">
      <alignment horizontal="center" vertical="center"/>
    </xf>
    <xf numFmtId="0" fontId="49" fillId="37" borderId="99" xfId="0" applyFont="1" applyFill="1" applyBorder="1" applyAlignment="1" applyProtection="1">
      <alignment horizontal="center" vertical="center"/>
      <protection locked="0"/>
    </xf>
    <xf numFmtId="1" fontId="49" fillId="38" borderId="83" xfId="0" applyNumberFormat="1" applyFont="1" applyFill="1" applyBorder="1" applyAlignment="1" applyProtection="1">
      <alignment horizontal="center" wrapText="1"/>
      <protection locked="0"/>
    </xf>
    <xf numFmtId="1" fontId="49" fillId="24" borderId="83" xfId="0" applyNumberFormat="1" applyFont="1" applyFill="1" applyBorder="1" applyAlignment="1" applyProtection="1">
      <alignment horizontal="center" vertical="center"/>
      <protection locked="0"/>
    </xf>
    <xf numFmtId="0" fontId="49" fillId="38" borderId="83" xfId="0" applyFont="1" applyFill="1" applyBorder="1" applyAlignment="1" applyProtection="1">
      <alignment horizontal="center" wrapText="1"/>
      <protection locked="0"/>
    </xf>
    <xf numFmtId="0" fontId="2" fillId="14" borderId="101" xfId="0" applyFont="1" applyFill="1" applyBorder="1" applyAlignment="1">
      <alignment horizontal="center"/>
    </xf>
    <xf numFmtId="0" fontId="49" fillId="35" borderId="83" xfId="0" applyFont="1" applyFill="1" applyBorder="1" applyAlignment="1">
      <alignment horizontal="center" vertical="center" wrapText="1"/>
    </xf>
    <xf numFmtId="0" fontId="49" fillId="35" borderId="71" xfId="0" applyFont="1" applyFill="1" applyBorder="1" applyAlignment="1">
      <alignment horizontal="center" vertical="center" wrapText="1"/>
    </xf>
    <xf numFmtId="0" fontId="49" fillId="36" borderId="68" xfId="0" applyFont="1" applyFill="1" applyBorder="1" applyAlignment="1">
      <alignment horizontal="center" vertical="center" wrapText="1"/>
    </xf>
    <xf numFmtId="0" fontId="49" fillId="37" borderId="92" xfId="0" applyFont="1" applyFill="1" applyBorder="1" applyAlignment="1">
      <alignment horizontal="center" vertical="center" wrapText="1"/>
    </xf>
    <xf numFmtId="0" fontId="49" fillId="24" borderId="14" xfId="0" applyFont="1" applyFill="1" applyBorder="1" applyAlignment="1">
      <alignment horizontal="center" vertical="center" wrapText="1"/>
    </xf>
    <xf numFmtId="0" fontId="55" fillId="40" borderId="0" xfId="0" applyFont="1" applyFill="1" applyAlignment="1">
      <alignment horizontal="left" vertical="center"/>
    </xf>
    <xf numFmtId="0" fontId="54" fillId="40" borderId="0" xfId="0" applyFont="1" applyFill="1" applyAlignment="1">
      <alignment horizontal="center" vertical="center"/>
    </xf>
    <xf numFmtId="2" fontId="55" fillId="4" borderId="106" xfId="0" applyNumberFormat="1" applyFont="1" applyFill="1" applyBorder="1" applyAlignment="1">
      <alignment horizontal="center" vertical="center"/>
    </xf>
    <xf numFmtId="2" fontId="55" fillId="4" borderId="107" xfId="0" applyNumberFormat="1" applyFont="1" applyFill="1" applyBorder="1" applyAlignment="1">
      <alignment horizontal="center" vertical="center"/>
    </xf>
    <xf numFmtId="4" fontId="55" fillId="4" borderId="68" xfId="0" applyNumberFormat="1" applyFont="1" applyFill="1" applyBorder="1" applyAlignment="1">
      <alignment horizontal="center" vertical="center"/>
    </xf>
    <xf numFmtId="2" fontId="54" fillId="4" borderId="68" xfId="0" applyNumberFormat="1" applyFont="1" applyFill="1" applyBorder="1" applyAlignment="1">
      <alignment horizontal="center" vertical="center"/>
    </xf>
    <xf numFmtId="0" fontId="54" fillId="5" borderId="105" xfId="0" applyFont="1" applyFill="1" applyBorder="1" applyAlignment="1">
      <alignment horizontal="center" wrapText="1"/>
    </xf>
    <xf numFmtId="1" fontId="49" fillId="5" borderId="105" xfId="0" applyNumberFormat="1" applyFont="1" applyFill="1" applyBorder="1" applyAlignment="1">
      <alignment horizontal="center" vertical="center"/>
    </xf>
    <xf numFmtId="164" fontId="55" fillId="4" borderId="14" xfId="0" applyNumberFormat="1" applyFont="1" applyFill="1" applyBorder="1" applyAlignment="1">
      <alignment horizontal="center"/>
    </xf>
    <xf numFmtId="2" fontId="55" fillId="4" borderId="50" xfId="0" applyNumberFormat="1" applyFont="1" applyFill="1" applyBorder="1" applyAlignment="1">
      <alignment horizontal="center" vertical="center"/>
    </xf>
    <xf numFmtId="2" fontId="55" fillId="4" borderId="52" xfId="0" applyNumberFormat="1" applyFont="1" applyFill="1" applyBorder="1" applyAlignment="1">
      <alignment horizontal="center" vertical="center"/>
    </xf>
    <xf numFmtId="4" fontId="54" fillId="4" borderId="67" xfId="0" applyNumberFormat="1" applyFont="1" applyFill="1" applyBorder="1" applyAlignment="1">
      <alignment horizontal="center" vertical="center"/>
    </xf>
    <xf numFmtId="2" fontId="54" fillId="4" borderId="67" xfId="0" applyNumberFormat="1" applyFont="1" applyFill="1" applyBorder="1" applyAlignment="1">
      <alignment horizontal="center" vertical="center"/>
    </xf>
    <xf numFmtId="0" fontId="0" fillId="34" borderId="46" xfId="0" applyFill="1" applyBorder="1"/>
    <xf numFmtId="2" fontId="55" fillId="4" borderId="52" xfId="0" applyNumberFormat="1" applyFont="1" applyFill="1" applyBorder="1" applyAlignment="1">
      <alignment horizontal="center" wrapText="1"/>
    </xf>
    <xf numFmtId="164" fontId="49" fillId="34" borderId="46" xfId="0" applyNumberFormat="1" applyFont="1" applyFill="1" applyBorder="1" applyAlignment="1">
      <alignment horizontal="center" vertical="center"/>
    </xf>
    <xf numFmtId="0" fontId="49" fillId="4" borderId="52" xfId="0" applyFont="1" applyFill="1" applyBorder="1"/>
    <xf numFmtId="0" fontId="55" fillId="0" borderId="0" xfId="0" applyFont="1"/>
    <xf numFmtId="0" fontId="54" fillId="0" borderId="0" xfId="0" applyFont="1" applyAlignment="1">
      <alignment horizontal="center" vertical="top"/>
    </xf>
    <xf numFmtId="0" fontId="36" fillId="0" borderId="0" xfId="0" applyFont="1" applyAlignment="1">
      <alignment horizontal="center" vertical="center"/>
    </xf>
    <xf numFmtId="0" fontId="45" fillId="0" borderId="0" xfId="0" applyFont="1" applyAlignment="1">
      <alignment horizontal="left" vertical="top"/>
    </xf>
    <xf numFmtId="3" fontId="55" fillId="0" borderId="0" xfId="0" applyNumberFormat="1" applyFont="1" applyAlignment="1">
      <alignment horizontal="center" vertical="center"/>
    </xf>
    <xf numFmtId="164" fontId="49" fillId="0" borderId="0" xfId="0" applyNumberFormat="1" applyFont="1" applyAlignment="1">
      <alignment horizontal="center" vertical="center" wrapText="1"/>
    </xf>
    <xf numFmtId="1" fontId="49" fillId="0" borderId="0" xfId="0" applyNumberFormat="1" applyFont="1" applyAlignment="1">
      <alignment horizontal="center" vertical="center"/>
    </xf>
    <xf numFmtId="2" fontId="49" fillId="0" borderId="0" xfId="0" applyNumberFormat="1" applyFont="1" applyAlignment="1">
      <alignment horizontal="center"/>
    </xf>
    <xf numFmtId="1" fontId="49" fillId="0" borderId="0" xfId="0" applyNumberFormat="1" applyFont="1" applyAlignment="1">
      <alignment horizontal="center"/>
    </xf>
    <xf numFmtId="1" fontId="55" fillId="0" borderId="0" xfId="0" applyNumberFormat="1" applyFont="1" applyAlignment="1">
      <alignment horizontal="center" vertical="center"/>
    </xf>
    <xf numFmtId="2" fontId="54" fillId="0" borderId="0" xfId="0" applyNumberFormat="1" applyFont="1" applyAlignment="1">
      <alignment horizontal="center"/>
    </xf>
    <xf numFmtId="1" fontId="54" fillId="0" borderId="0" xfId="0" applyNumberFormat="1" applyFont="1" applyAlignment="1">
      <alignment horizontal="center"/>
    </xf>
    <xf numFmtId="2" fontId="55" fillId="0" borderId="0" xfId="0" applyNumberFormat="1" applyFont="1" applyAlignment="1">
      <alignment horizontal="center"/>
    </xf>
    <xf numFmtId="0" fontId="49" fillId="37" borderId="90" xfId="0" applyFont="1" applyFill="1" applyBorder="1" applyAlignment="1">
      <alignment horizontal="center" vertical="center" wrapText="1"/>
    </xf>
    <xf numFmtId="2" fontId="49" fillId="37" borderId="69" xfId="0" applyNumberFormat="1" applyFont="1" applyFill="1" applyBorder="1" applyAlignment="1">
      <alignment horizontal="center" vertical="center"/>
    </xf>
    <xf numFmtId="0" fontId="49" fillId="37" borderId="69" xfId="0" applyFont="1" applyFill="1" applyBorder="1" applyAlignment="1">
      <alignment horizontal="center" vertical="center" wrapText="1"/>
    </xf>
    <xf numFmtId="2" fontId="55" fillId="4" borderId="98" xfId="0" applyNumberFormat="1" applyFont="1" applyFill="1" applyBorder="1" applyAlignment="1">
      <alignment horizontal="center" vertical="center"/>
    </xf>
    <xf numFmtId="2" fontId="55" fillId="4" borderId="51" xfId="0" applyNumberFormat="1" applyFont="1" applyFill="1" applyBorder="1" applyAlignment="1">
      <alignment horizontal="center" vertical="center"/>
    </xf>
    <xf numFmtId="0" fontId="51" fillId="4" borderId="0" xfId="0" applyFont="1" applyFill="1" applyAlignment="1">
      <alignment horizontal="center" vertical="center" wrapText="1"/>
    </xf>
    <xf numFmtId="0" fontId="2" fillId="4" borderId="0" xfId="0" applyFont="1" applyFill="1" applyAlignment="1">
      <alignment horizontal="center"/>
    </xf>
    <xf numFmtId="0" fontId="49" fillId="4" borderId="0" xfId="0" applyFont="1" applyFill="1" applyAlignment="1">
      <alignment vertical="center"/>
    </xf>
    <xf numFmtId="0" fontId="49" fillId="4" borderId="0" xfId="0" applyFont="1" applyFill="1"/>
    <xf numFmtId="0" fontId="49" fillId="4" borderId="51" xfId="0" applyFont="1" applyFill="1" applyBorder="1"/>
    <xf numFmtId="2" fontId="10" fillId="34" borderId="46" xfId="2" applyNumberFormat="1" applyFont="1" applyFill="1" applyBorder="1" applyAlignment="1">
      <alignment horizontal="center" vertical="center"/>
    </xf>
    <xf numFmtId="14" fontId="0" fillId="0" borderId="0" xfId="0" applyNumberFormat="1" applyAlignment="1">
      <alignment horizontal="center" vertical="center"/>
    </xf>
    <xf numFmtId="2" fontId="0" fillId="0" borderId="0" xfId="0" applyNumberFormat="1"/>
    <xf numFmtId="2" fontId="3" fillId="41" borderId="46" xfId="2" applyNumberFormat="1" applyFont="1" applyFill="1" applyBorder="1" applyAlignment="1">
      <alignment horizontal="center" vertical="center"/>
    </xf>
    <xf numFmtId="0" fontId="36" fillId="16" borderId="0" xfId="2" applyFont="1" applyFill="1"/>
    <xf numFmtId="0" fontId="41" fillId="16" borderId="0" xfId="2" applyFont="1" applyFill="1" applyAlignment="1">
      <alignment horizontal="center"/>
    </xf>
    <xf numFmtId="1" fontId="0" fillId="0" borderId="0" xfId="0" applyNumberFormat="1" applyAlignment="1">
      <alignment horizontal="center" vertical="center"/>
    </xf>
    <xf numFmtId="4" fontId="0" fillId="0" borderId="0" xfId="0" applyNumberFormat="1" applyAlignment="1">
      <alignment horizontal="center"/>
    </xf>
    <xf numFmtId="0" fontId="37" fillId="0" borderId="0" xfId="2" applyFont="1" applyAlignment="1">
      <alignment horizontal="center" vertical="center"/>
    </xf>
    <xf numFmtId="0" fontId="37" fillId="0" borderId="0" xfId="2" applyFont="1"/>
    <xf numFmtId="3" fontId="0" fillId="0" borderId="0" xfId="0" applyNumberFormat="1" applyAlignment="1">
      <alignment horizontal="center"/>
    </xf>
    <xf numFmtId="3" fontId="0" fillId="0" borderId="0" xfId="0" applyNumberFormat="1" applyAlignment="1">
      <alignment horizontal="center" vertical="center"/>
    </xf>
    <xf numFmtId="0" fontId="17" fillId="0" borderId="0" xfId="1" applyFont="1"/>
    <xf numFmtId="0" fontId="2" fillId="0" borderId="29" xfId="1" applyBorder="1"/>
    <xf numFmtId="0" fontId="2" fillId="0" borderId="79" xfId="1" applyBorder="1"/>
    <xf numFmtId="0" fontId="2" fillId="0" borderId="77" xfId="1" applyBorder="1"/>
    <xf numFmtId="0" fontId="0" fillId="0" borderId="0" xfId="0" applyAlignment="1">
      <alignment horizontal="center"/>
    </xf>
    <xf numFmtId="0" fontId="2" fillId="42" borderId="0" xfId="1" applyFill="1"/>
    <xf numFmtId="0" fontId="2" fillId="0" borderId="70" xfId="1" applyBorder="1"/>
    <xf numFmtId="0" fontId="17" fillId="0" borderId="25" xfId="1" applyFont="1" applyBorder="1" applyAlignment="1">
      <alignment horizontal="center"/>
    </xf>
    <xf numFmtId="0" fontId="2" fillId="0" borderId="71" xfId="1" applyBorder="1"/>
    <xf numFmtId="0" fontId="2" fillId="0" borderId="111" xfId="1" applyBorder="1"/>
    <xf numFmtId="0" fontId="2" fillId="0" borderId="100" xfId="1" applyBorder="1"/>
    <xf numFmtId="0" fontId="2" fillId="0" borderId="80" xfId="1" applyBorder="1"/>
    <xf numFmtId="0" fontId="17" fillId="0" borderId="46" xfId="1" applyFont="1" applyBorder="1" applyAlignment="1">
      <alignment horizontal="center"/>
    </xf>
    <xf numFmtId="0" fontId="17" fillId="0" borderId="29" xfId="1" applyFont="1" applyBorder="1" applyAlignment="1">
      <alignment horizontal="center"/>
    </xf>
    <xf numFmtId="0" fontId="17" fillId="0" borderId="28" xfId="1" applyFont="1" applyBorder="1"/>
    <xf numFmtId="0" fontId="2" fillId="0" borderId="75" xfId="1" applyBorder="1" applyAlignment="1">
      <alignment horizontal="left" vertical="top"/>
    </xf>
    <xf numFmtId="0" fontId="2" fillId="0" borderId="66" xfId="1" applyBorder="1" applyAlignment="1">
      <alignment horizontal="center"/>
    </xf>
    <xf numFmtId="0" fontId="2" fillId="0" borderId="66" xfId="1" applyBorder="1" applyAlignment="1">
      <alignment horizontal="center" vertical="center"/>
    </xf>
    <xf numFmtId="0" fontId="2" fillId="0" borderId="88" xfId="1" applyBorder="1"/>
    <xf numFmtId="0" fontId="2" fillId="0" borderId="100" xfId="1" applyBorder="1" applyAlignment="1">
      <alignment horizontal="center"/>
    </xf>
    <xf numFmtId="0" fontId="17" fillId="0" borderId="79" xfId="1" applyFont="1" applyBorder="1" applyAlignment="1">
      <alignment horizontal="center"/>
    </xf>
    <xf numFmtId="0" fontId="17" fillId="0" borderId="77" xfId="1" applyFont="1" applyBorder="1" applyAlignment="1">
      <alignment horizontal="center" vertical="center"/>
    </xf>
    <xf numFmtId="0" fontId="17" fillId="0" borderId="77" xfId="1" applyFont="1" applyBorder="1" applyAlignment="1">
      <alignment horizontal="center"/>
    </xf>
    <xf numFmtId="0" fontId="17" fillId="0" borderId="86" xfId="1" applyFont="1" applyBorder="1" applyAlignment="1">
      <alignment horizontal="center"/>
    </xf>
    <xf numFmtId="0" fontId="2" fillId="0" borderId="72" xfId="1" applyBorder="1" applyAlignment="1">
      <alignment horizontal="center" vertical="center"/>
    </xf>
    <xf numFmtId="0" fontId="2" fillId="0" borderId="72" xfId="1" applyBorder="1" applyAlignment="1">
      <alignment horizontal="center"/>
    </xf>
    <xf numFmtId="1" fontId="2" fillId="0" borderId="66" xfId="1" applyNumberFormat="1" applyBorder="1" applyAlignment="1">
      <alignment horizontal="center" vertical="center"/>
    </xf>
    <xf numFmtId="0" fontId="2" fillId="0" borderId="70" xfId="1" applyBorder="1" applyAlignment="1">
      <alignment horizontal="center" vertical="top"/>
    </xf>
    <xf numFmtId="0" fontId="17" fillId="0" borderId="102" xfId="1" applyFont="1" applyBorder="1" applyAlignment="1">
      <alignment horizontal="center"/>
    </xf>
    <xf numFmtId="0" fontId="17" fillId="0" borderId="28" xfId="1" applyFont="1" applyBorder="1" applyAlignment="1">
      <alignment horizontal="left" vertical="top"/>
    </xf>
    <xf numFmtId="0" fontId="2" fillId="0" borderId="106" xfId="1" applyBorder="1" applyAlignment="1">
      <alignment horizontal="center" vertical="center"/>
    </xf>
    <xf numFmtId="0" fontId="2" fillId="0" borderId="107" xfId="1" applyBorder="1" applyAlignment="1">
      <alignment horizontal="center" vertical="center"/>
    </xf>
    <xf numFmtId="0" fontId="37" fillId="16" borderId="0" xfId="2" applyFont="1" applyFill="1" applyAlignment="1">
      <alignment horizontal="center"/>
    </xf>
    <xf numFmtId="0" fontId="61" fillId="16" borderId="0" xfId="2" applyFont="1" applyFill="1"/>
    <xf numFmtId="0" fontId="62" fillId="16" borderId="0" xfId="2" applyFont="1" applyFill="1"/>
    <xf numFmtId="0" fontId="63" fillId="16" borderId="0" xfId="2" applyFont="1" applyFill="1"/>
    <xf numFmtId="0" fontId="2" fillId="0" borderId="28" xfId="1" applyBorder="1"/>
    <xf numFmtId="0" fontId="2" fillId="0" borderId="33" xfId="1" applyBorder="1" applyAlignment="1">
      <alignment horizontal="center"/>
    </xf>
    <xf numFmtId="0" fontId="0" fillId="0" borderId="66" xfId="0" applyBorder="1"/>
    <xf numFmtId="0" fontId="39" fillId="0" borderId="66" xfId="1" applyFont="1" applyBorder="1"/>
    <xf numFmtId="9" fontId="64" fillId="0" borderId="46" xfId="4" applyFont="1" applyBorder="1"/>
    <xf numFmtId="0" fontId="65" fillId="16" borderId="0" xfId="2" applyFont="1" applyFill="1"/>
    <xf numFmtId="0" fontId="66" fillId="16" borderId="0" xfId="2" applyFont="1" applyFill="1"/>
    <xf numFmtId="1" fontId="2" fillId="0" borderId="72" xfId="1" applyNumberFormat="1" applyBorder="1"/>
    <xf numFmtId="1" fontId="2" fillId="0" borderId="100" xfId="1" applyNumberFormat="1" applyBorder="1"/>
    <xf numFmtId="0" fontId="0" fillId="0" borderId="33" xfId="0" applyBorder="1"/>
    <xf numFmtId="0" fontId="0" fillId="14" borderId="68" xfId="0" applyFill="1" applyBorder="1" applyAlignment="1">
      <alignment horizontal="center" vertical="center"/>
    </xf>
    <xf numFmtId="164" fontId="0" fillId="14" borderId="68" xfId="0" applyNumberFormat="1" applyFill="1" applyBorder="1" applyAlignment="1">
      <alignment horizontal="center" vertical="center"/>
    </xf>
    <xf numFmtId="0" fontId="67" fillId="41" borderId="67" xfId="0" applyFont="1" applyFill="1" applyBorder="1" applyAlignment="1">
      <alignment horizontal="center" vertical="center"/>
    </xf>
    <xf numFmtId="0" fontId="67" fillId="41" borderId="67" xfId="0" applyFont="1" applyFill="1" applyBorder="1" applyAlignment="1">
      <alignment horizontal="left" vertical="center"/>
    </xf>
    <xf numFmtId="0" fontId="0" fillId="14" borderId="68" xfId="0" applyFill="1" applyBorder="1" applyAlignment="1">
      <alignment horizontal="left" vertical="center"/>
    </xf>
    <xf numFmtId="166" fontId="67" fillId="41" borderId="67" xfId="0" applyNumberFormat="1" applyFont="1" applyFill="1" applyBorder="1" applyAlignment="1">
      <alignment horizontal="center" vertical="center"/>
    </xf>
    <xf numFmtId="0" fontId="36" fillId="12" borderId="66" xfId="2" applyFont="1" applyFill="1" applyBorder="1" applyAlignment="1">
      <alignment horizontal="center"/>
    </xf>
    <xf numFmtId="1" fontId="36" fillId="0" borderId="66" xfId="2" applyNumberFormat="1" applyFont="1" applyBorder="1" applyAlignment="1">
      <alignment horizontal="center"/>
    </xf>
    <xf numFmtId="1" fontId="36" fillId="12" borderId="66" xfId="2" applyNumberFormat="1" applyFont="1" applyFill="1" applyBorder="1" applyAlignment="1">
      <alignment horizontal="center"/>
    </xf>
    <xf numFmtId="3" fontId="36" fillId="0" borderId="66" xfId="2" applyNumberFormat="1" applyFont="1" applyBorder="1" applyAlignment="1">
      <alignment horizontal="center"/>
    </xf>
    <xf numFmtId="0" fontId="36" fillId="0" borderId="66" xfId="2" applyFont="1" applyBorder="1" applyAlignment="1">
      <alignment horizontal="center"/>
    </xf>
    <xf numFmtId="1" fontId="39" fillId="0" borderId="66" xfId="1" applyNumberFormat="1" applyFont="1" applyBorder="1"/>
    <xf numFmtId="0" fontId="2" fillId="5" borderId="0" xfId="1" applyFill="1"/>
    <xf numFmtId="0" fontId="68" fillId="0" borderId="0" xfId="1" applyFont="1"/>
    <xf numFmtId="0" fontId="17" fillId="0" borderId="79" xfId="1" applyFont="1" applyBorder="1" applyAlignment="1">
      <alignment horizontal="center" vertical="center"/>
    </xf>
    <xf numFmtId="0" fontId="17" fillId="0" borderId="86" xfId="1" applyFont="1" applyBorder="1" applyAlignment="1">
      <alignment horizontal="center" vertical="center"/>
    </xf>
    <xf numFmtId="0" fontId="17" fillId="0" borderId="46" xfId="1" applyFont="1" applyBorder="1" applyAlignment="1">
      <alignment horizontal="left"/>
    </xf>
    <xf numFmtId="0" fontId="2" fillId="0" borderId="82" xfId="1" applyBorder="1"/>
    <xf numFmtId="0" fontId="2" fillId="0" borderId="114" xfId="1" applyBorder="1"/>
    <xf numFmtId="0" fontId="17" fillId="0" borderId="0" xfId="1" applyFont="1" applyAlignment="1">
      <alignment horizontal="center"/>
    </xf>
    <xf numFmtId="0" fontId="2" fillId="34" borderId="0" xfId="1" applyFill="1"/>
    <xf numFmtId="0" fontId="2" fillId="41" borderId="9" xfId="1" applyFill="1" applyBorder="1"/>
    <xf numFmtId="0" fontId="2" fillId="41" borderId="8" xfId="1" applyFill="1" applyBorder="1"/>
    <xf numFmtId="0" fontId="2" fillId="41" borderId="10" xfId="1" applyFill="1" applyBorder="1"/>
    <xf numFmtId="0" fontId="2" fillId="41" borderId="13" xfId="1" applyFill="1" applyBorder="1"/>
    <xf numFmtId="0" fontId="2" fillId="41" borderId="0" xfId="1" applyFill="1"/>
    <xf numFmtId="0" fontId="2" fillId="41" borderId="14" xfId="1" applyFill="1" applyBorder="1"/>
    <xf numFmtId="0" fontId="2" fillId="41" borderId="50" xfId="1" applyFill="1" applyBorder="1"/>
    <xf numFmtId="0" fontId="43" fillId="41" borderId="0" xfId="1" applyFont="1" applyFill="1"/>
    <xf numFmtId="0" fontId="2" fillId="41" borderId="51" xfId="1" applyFill="1" applyBorder="1"/>
    <xf numFmtId="0" fontId="2" fillId="41" borderId="52" xfId="1" applyFill="1" applyBorder="1"/>
    <xf numFmtId="0" fontId="43" fillId="41" borderId="8" xfId="1" applyFont="1" applyFill="1" applyBorder="1"/>
    <xf numFmtId="0" fontId="2" fillId="12" borderId="70" xfId="1" applyFill="1" applyBorder="1" applyAlignment="1">
      <alignment horizontal="center"/>
    </xf>
    <xf numFmtId="0" fontId="39" fillId="41" borderId="13" xfId="1" applyFont="1" applyFill="1" applyBorder="1" applyAlignment="1">
      <alignment horizontal="left" vertical="top"/>
    </xf>
    <xf numFmtId="0" fontId="45" fillId="0" borderId="0" xfId="1" applyFont="1"/>
    <xf numFmtId="0" fontId="2" fillId="0" borderId="105" xfId="1" applyBorder="1" applyAlignment="1">
      <alignment horizontal="center" vertical="center"/>
    </xf>
    <xf numFmtId="0" fontId="2" fillId="0" borderId="82" xfId="1" applyBorder="1" applyAlignment="1">
      <alignment horizontal="center" vertical="center"/>
    </xf>
    <xf numFmtId="1" fontId="2" fillId="0" borderId="82" xfId="1" applyNumberFormat="1" applyBorder="1"/>
    <xf numFmtId="0" fontId="2" fillId="0" borderId="114" xfId="1" applyBorder="1" applyAlignment="1">
      <alignment horizontal="center" vertical="center"/>
    </xf>
    <xf numFmtId="0" fontId="2" fillId="0" borderId="106" xfId="1" applyBorder="1" applyAlignment="1">
      <alignment horizontal="center"/>
    </xf>
    <xf numFmtId="0" fontId="2" fillId="0" borderId="107" xfId="1" applyBorder="1"/>
    <xf numFmtId="0" fontId="2" fillId="0" borderId="81" xfId="1" applyBorder="1" applyAlignment="1">
      <alignment horizontal="center"/>
    </xf>
    <xf numFmtId="1" fontId="2" fillId="0" borderId="72" xfId="1" applyNumberFormat="1" applyBorder="1" applyAlignment="1">
      <alignment horizontal="center"/>
    </xf>
    <xf numFmtId="0" fontId="0" fillId="16" borderId="0" xfId="0" applyFill="1" applyAlignment="1">
      <alignment horizontal="center" vertical="center"/>
    </xf>
    <xf numFmtId="0" fontId="0" fillId="16" borderId="0" xfId="0" applyFill="1" applyAlignment="1">
      <alignment horizontal="center"/>
    </xf>
    <xf numFmtId="0" fontId="0" fillId="16" borderId="0" xfId="0" applyFill="1" applyAlignment="1">
      <alignment horizontal="left" vertical="center"/>
    </xf>
    <xf numFmtId="164" fontId="0" fillId="16" borderId="0" xfId="0" applyNumberFormat="1" applyFill="1" applyAlignment="1">
      <alignment horizontal="center" vertical="center"/>
    </xf>
    <xf numFmtId="0" fontId="67" fillId="16" borderId="0" xfId="0" applyFont="1" applyFill="1" applyAlignment="1">
      <alignment horizontal="left" vertical="center"/>
    </xf>
    <xf numFmtId="0" fontId="67" fillId="16" borderId="0" xfId="0" applyFont="1" applyFill="1" applyAlignment="1">
      <alignment horizontal="center" vertical="center"/>
    </xf>
    <xf numFmtId="166" fontId="67" fillId="16" borderId="0" xfId="0" applyNumberFormat="1" applyFont="1" applyFill="1" applyAlignment="1">
      <alignment horizontal="center" vertical="center"/>
    </xf>
    <xf numFmtId="0" fontId="2" fillId="12" borderId="28" xfId="1" applyFill="1" applyBorder="1" applyAlignment="1">
      <alignment horizontal="center" vertical="center" wrapText="1"/>
    </xf>
    <xf numFmtId="0" fontId="2" fillId="12" borderId="93" xfId="1" applyFill="1" applyBorder="1" applyAlignment="1">
      <alignment horizontal="center" vertical="center" wrapText="1"/>
    </xf>
    <xf numFmtId="0" fontId="2" fillId="21" borderId="69" xfId="1" applyFill="1" applyBorder="1" applyAlignment="1">
      <alignment horizontal="center"/>
    </xf>
    <xf numFmtId="0" fontId="2" fillId="21" borderId="70" xfId="1" applyFill="1" applyBorder="1" applyAlignment="1">
      <alignment horizontal="center"/>
    </xf>
    <xf numFmtId="9" fontId="64" fillId="0" borderId="29" xfId="4" applyFont="1" applyBorder="1"/>
    <xf numFmtId="0" fontId="17" fillId="0" borderId="75" xfId="1" applyFont="1" applyBorder="1" applyAlignment="1">
      <alignment horizontal="center" vertical="top"/>
    </xf>
    <xf numFmtId="0" fontId="17" fillId="0" borderId="38" xfId="1" applyFont="1" applyBorder="1" applyAlignment="1">
      <alignment horizontal="center" vertical="top"/>
    </xf>
    <xf numFmtId="0" fontId="2" fillId="0" borderId="70" xfId="1" applyBorder="1" applyAlignment="1">
      <alignment horizontal="center" vertical="center"/>
    </xf>
    <xf numFmtId="0" fontId="2" fillId="0" borderId="111" xfId="1" applyBorder="1" applyAlignment="1">
      <alignment horizontal="center" vertical="center"/>
    </xf>
    <xf numFmtId="0" fontId="17" fillId="0" borderId="93" xfId="1" applyFont="1" applyBorder="1" applyAlignment="1">
      <alignment horizontal="center"/>
    </xf>
    <xf numFmtId="0" fontId="17" fillId="0" borderId="33" xfId="1" applyFont="1" applyBorder="1" applyAlignment="1">
      <alignment horizontal="center"/>
    </xf>
    <xf numFmtId="0" fontId="17" fillId="0" borderId="75" xfId="1" applyFont="1" applyBorder="1" applyAlignment="1">
      <alignment horizontal="center"/>
    </xf>
    <xf numFmtId="0" fontId="2" fillId="0" borderId="71" xfId="1" applyBorder="1" applyAlignment="1">
      <alignment horizontal="center" vertical="center"/>
    </xf>
    <xf numFmtId="3" fontId="2" fillId="0" borderId="0" xfId="1" applyNumberFormat="1" applyAlignment="1">
      <alignment horizontal="center"/>
    </xf>
    <xf numFmtId="3" fontId="2" fillId="0" borderId="0" xfId="1" applyNumberFormat="1" applyAlignment="1">
      <alignment horizontal="center" vertical="center"/>
    </xf>
    <xf numFmtId="0" fontId="58" fillId="0" borderId="0" xfId="1" applyFont="1"/>
    <xf numFmtId="0" fontId="44" fillId="0" borderId="0" xfId="1" applyFont="1" applyAlignment="1">
      <alignment horizontal="center" vertical="top"/>
    </xf>
    <xf numFmtId="0" fontId="2" fillId="0" borderId="94" xfId="1" applyBorder="1"/>
    <xf numFmtId="0" fontId="2" fillId="0" borderId="78" xfId="1" applyBorder="1"/>
    <xf numFmtId="0" fontId="17" fillId="0" borderId="76" xfId="1" applyFont="1" applyBorder="1" applyAlignment="1">
      <alignment horizontal="center"/>
    </xf>
    <xf numFmtId="0" fontId="17" fillId="0" borderId="112" xfId="1" applyFont="1" applyBorder="1" applyAlignment="1">
      <alignment horizontal="center"/>
    </xf>
    <xf numFmtId="0" fontId="2" fillId="0" borderId="82" xfId="1" applyBorder="1" applyAlignment="1">
      <alignment horizontal="right"/>
    </xf>
    <xf numFmtId="0" fontId="24" fillId="0" borderId="0" xfId="0" applyFont="1"/>
    <xf numFmtId="0" fontId="0" fillId="0" borderId="0" xfId="0" applyAlignment="1">
      <alignment horizontal="left" vertical="center"/>
    </xf>
    <xf numFmtId="164" fontId="0" fillId="0" borderId="0" xfId="0" applyNumberFormat="1" applyAlignment="1">
      <alignment horizontal="center" vertical="center"/>
    </xf>
    <xf numFmtId="0" fontId="67" fillId="0" borderId="0" xfId="0" applyFont="1" applyAlignment="1">
      <alignment horizontal="left" vertical="center"/>
    </xf>
    <xf numFmtId="0" fontId="67" fillId="0" borderId="0" xfId="0" applyFont="1" applyAlignment="1">
      <alignment horizontal="center" vertical="center"/>
    </xf>
    <xf numFmtId="166" fontId="67" fillId="0" borderId="0" xfId="0" applyNumberFormat="1" applyFont="1" applyAlignment="1">
      <alignment horizontal="center" vertical="center"/>
    </xf>
    <xf numFmtId="0" fontId="2" fillId="0" borderId="81" xfId="1" applyBorder="1" applyAlignment="1">
      <alignment horizontal="left"/>
    </xf>
    <xf numFmtId="0" fontId="82" fillId="0" borderId="0" xfId="46"/>
    <xf numFmtId="9" fontId="0" fillId="0" borderId="0" xfId="47" applyFont="1"/>
    <xf numFmtId="43" fontId="0" fillId="0" borderId="0" xfId="48" applyFont="1"/>
    <xf numFmtId="2" fontId="17" fillId="0" borderId="74" xfId="46" applyNumberFormat="1" applyFont="1" applyBorder="1" applyAlignment="1">
      <alignment horizontal="center"/>
    </xf>
    <xf numFmtId="0" fontId="83" fillId="0" borderId="124" xfId="46" applyFont="1" applyBorder="1"/>
    <xf numFmtId="9" fontId="84" fillId="75" borderId="70" xfId="47" applyFont="1" applyFill="1" applyBorder="1" applyAlignment="1"/>
    <xf numFmtId="0" fontId="85" fillId="0" borderId="125" xfId="46" applyFont="1" applyBorder="1" applyAlignment="1">
      <alignment horizontal="center"/>
    </xf>
    <xf numFmtId="0" fontId="86" fillId="75" borderId="126" xfId="46" applyFont="1" applyFill="1" applyBorder="1"/>
    <xf numFmtId="9" fontId="85" fillId="0" borderId="70" xfId="47" applyFont="1" applyBorder="1" applyAlignment="1">
      <alignment horizontal="center"/>
    </xf>
    <xf numFmtId="0" fontId="85" fillId="0" borderId="98" xfId="46" applyFont="1" applyBorder="1" applyAlignment="1">
      <alignment horizontal="center"/>
    </xf>
    <xf numFmtId="0" fontId="86" fillId="0" borderId="127" xfId="46" applyFont="1" applyBorder="1"/>
    <xf numFmtId="9" fontId="84" fillId="76" borderId="128" xfId="47" applyFont="1" applyFill="1" applyBorder="1" applyAlignment="1">
      <alignment horizontal="center"/>
    </xf>
    <xf numFmtId="0" fontId="84" fillId="76" borderId="129" xfId="46" applyFont="1" applyFill="1" applyBorder="1" applyAlignment="1">
      <alignment horizontal="center"/>
    </xf>
    <xf numFmtId="0" fontId="84" fillId="76" borderId="130" xfId="46" applyFont="1" applyFill="1" applyBorder="1"/>
    <xf numFmtId="9" fontId="84" fillId="0" borderId="131" xfId="47" applyFont="1" applyFill="1" applyBorder="1" applyAlignment="1">
      <alignment horizontal="center"/>
    </xf>
    <xf numFmtId="0" fontId="82" fillId="0" borderId="0" xfId="46" applyAlignment="1">
      <alignment horizontal="center"/>
    </xf>
    <xf numFmtId="0" fontId="82" fillId="0" borderId="0" xfId="46" applyAlignment="1">
      <alignment wrapText="1"/>
    </xf>
    <xf numFmtId="9" fontId="87" fillId="76" borderId="132" xfId="47" applyFont="1" applyFill="1" applyBorder="1" applyAlignment="1">
      <alignment horizontal="center"/>
    </xf>
    <xf numFmtId="0" fontId="87" fillId="76" borderId="124" xfId="46" applyFont="1" applyFill="1" applyBorder="1" applyAlignment="1">
      <alignment horizontal="center"/>
    </xf>
    <xf numFmtId="0" fontId="88" fillId="76" borderId="133" xfId="46" applyFont="1" applyFill="1" applyBorder="1" applyAlignment="1">
      <alignment horizontal="center"/>
    </xf>
    <xf numFmtId="0" fontId="22" fillId="77" borderId="131" xfId="46" applyFont="1" applyFill="1" applyBorder="1" applyAlignment="1">
      <alignment horizontal="center"/>
    </xf>
    <xf numFmtId="0" fontId="22" fillId="77" borderId="0" xfId="46" applyFont="1" applyFill="1" applyAlignment="1">
      <alignment horizontal="center"/>
    </xf>
    <xf numFmtId="0" fontId="88" fillId="76" borderId="134" xfId="46" applyFont="1" applyFill="1" applyBorder="1" applyAlignment="1">
      <alignment horizontal="center"/>
    </xf>
    <xf numFmtId="0" fontId="2" fillId="0" borderId="38" xfId="1" applyBorder="1" applyAlignment="1">
      <alignment horizontal="center"/>
    </xf>
    <xf numFmtId="0" fontId="17" fillId="0" borderId="46" xfId="1" applyFont="1" applyBorder="1" applyAlignment="1">
      <alignment horizontal="center" vertical="top"/>
    </xf>
    <xf numFmtId="14" fontId="0" fillId="0" borderId="0" xfId="0" applyNumberFormat="1"/>
    <xf numFmtId="0" fontId="17" fillId="0" borderId="28" xfId="1" applyFont="1" applyBorder="1" applyAlignment="1">
      <alignment horizontal="center"/>
    </xf>
    <xf numFmtId="0" fontId="2" fillId="0" borderId="90" xfId="1" applyBorder="1"/>
    <xf numFmtId="0" fontId="2" fillId="0" borderId="101" xfId="1" applyBorder="1"/>
    <xf numFmtId="0" fontId="2" fillId="0" borderId="102" xfId="1" applyBorder="1"/>
    <xf numFmtId="0" fontId="2" fillId="0" borderId="76" xfId="1" applyBorder="1"/>
    <xf numFmtId="0" fontId="2" fillId="0" borderId="75" xfId="1" applyBorder="1"/>
    <xf numFmtId="0" fontId="2" fillId="0" borderId="34" xfId="1" applyBorder="1"/>
    <xf numFmtId="0" fontId="2" fillId="0" borderId="38" xfId="1" applyBorder="1"/>
    <xf numFmtId="0" fontId="2" fillId="0" borderId="0" xfId="46" applyFont="1" applyAlignment="1">
      <alignment wrapText="1"/>
    </xf>
    <xf numFmtId="2" fontId="0" fillId="0" borderId="71" xfId="0" applyNumberFormat="1" applyBorder="1"/>
    <xf numFmtId="2" fontId="0" fillId="0" borderId="80" xfId="0" applyNumberFormat="1" applyBorder="1"/>
    <xf numFmtId="2" fontId="0" fillId="0" borderId="70" xfId="0" applyNumberFormat="1" applyBorder="1"/>
    <xf numFmtId="2" fontId="0" fillId="0" borderId="111" xfId="0" applyNumberFormat="1" applyBorder="1"/>
    <xf numFmtId="0" fontId="25" fillId="0" borderId="75" xfId="0" applyFont="1" applyBorder="1" applyAlignment="1">
      <alignment horizontal="center"/>
    </xf>
    <xf numFmtId="0" fontId="25" fillId="0" borderId="38" xfId="0" applyFont="1" applyBorder="1" applyAlignment="1">
      <alignment horizontal="center"/>
    </xf>
    <xf numFmtId="0" fontId="25" fillId="0" borderId="94" xfId="0" applyFont="1" applyBorder="1" applyAlignment="1">
      <alignment horizontal="center" vertical="center"/>
    </xf>
    <xf numFmtId="0" fontId="25" fillId="0" borderId="84" xfId="0" applyFont="1" applyBorder="1" applyAlignment="1">
      <alignment horizontal="center" vertical="center"/>
    </xf>
    <xf numFmtId="0" fontId="2" fillId="0" borderId="74" xfId="1" applyBorder="1" applyAlignment="1">
      <alignment horizontal="center" vertical="center"/>
    </xf>
    <xf numFmtId="0" fontId="36" fillId="0" borderId="70" xfId="2" applyFont="1" applyBorder="1" applyAlignment="1">
      <alignment horizontal="center"/>
    </xf>
    <xf numFmtId="0" fontId="36" fillId="12" borderId="70" xfId="2" applyFont="1" applyFill="1" applyBorder="1" applyAlignment="1">
      <alignment horizontal="center"/>
    </xf>
    <xf numFmtId="0" fontId="42" fillId="20" borderId="33" xfId="2" applyFont="1" applyFill="1" applyBorder="1" applyAlignment="1">
      <alignment horizontal="center"/>
    </xf>
    <xf numFmtId="0" fontId="34" fillId="21" borderId="76" xfId="2" applyFont="1" applyFill="1" applyBorder="1" applyAlignment="1">
      <alignment horizontal="center" vertical="center"/>
    </xf>
    <xf numFmtId="0" fontId="40" fillId="21" borderId="77" xfId="2" applyFont="1" applyFill="1" applyBorder="1" applyAlignment="1">
      <alignment horizontal="center"/>
    </xf>
    <xf numFmtId="0" fontId="33" fillId="78" borderId="46" xfId="2" applyFont="1" applyFill="1" applyBorder="1" applyAlignment="1">
      <alignment horizontal="center"/>
    </xf>
    <xf numFmtId="0" fontId="25" fillId="23" borderId="76" xfId="0" applyFont="1" applyFill="1" applyBorder="1" applyAlignment="1">
      <alignment horizontal="center"/>
    </xf>
    <xf numFmtId="1" fontId="36" fillId="0" borderId="70" xfId="2" applyNumberFormat="1" applyFont="1" applyBorder="1" applyAlignment="1">
      <alignment horizontal="center"/>
    </xf>
    <xf numFmtId="1" fontId="36" fillId="12" borderId="70" xfId="2" applyNumberFormat="1" applyFont="1" applyFill="1" applyBorder="1" applyAlignment="1">
      <alignment horizontal="center"/>
    </xf>
    <xf numFmtId="3" fontId="36" fillId="0" borderId="70" xfId="2" applyNumberFormat="1" applyFont="1" applyBorder="1" applyAlignment="1">
      <alignment horizontal="center"/>
    </xf>
    <xf numFmtId="0" fontId="36" fillId="20" borderId="78" xfId="2" applyFont="1" applyFill="1" applyBorder="1" applyAlignment="1">
      <alignment horizontal="center"/>
    </xf>
    <xf numFmtId="0" fontId="36" fillId="20" borderId="82" xfId="2" applyFont="1" applyFill="1" applyBorder="1" applyAlignment="1">
      <alignment horizontal="center"/>
    </xf>
    <xf numFmtId="0" fontId="34" fillId="21" borderId="29" xfId="2" applyFont="1" applyFill="1" applyBorder="1" applyAlignment="1">
      <alignment horizontal="center"/>
    </xf>
    <xf numFmtId="0" fontId="36" fillId="12" borderId="74" xfId="2" applyFont="1" applyFill="1" applyBorder="1" applyAlignment="1">
      <alignment horizontal="center"/>
    </xf>
    <xf numFmtId="0" fontId="36" fillId="12" borderId="72" xfId="2" applyFont="1" applyFill="1" applyBorder="1" applyAlignment="1">
      <alignment horizontal="center"/>
    </xf>
    <xf numFmtId="17" fontId="36" fillId="0" borderId="29" xfId="3" applyNumberFormat="1" applyFont="1" applyBorder="1" applyAlignment="1">
      <alignment horizontal="center"/>
    </xf>
    <xf numFmtId="0" fontId="90" fillId="16" borderId="46" xfId="2" applyFont="1" applyFill="1" applyBorder="1" applyAlignment="1">
      <alignment horizontal="center"/>
    </xf>
    <xf numFmtId="17" fontId="39" fillId="20" borderId="46" xfId="3" applyNumberFormat="1" applyFont="1" applyFill="1" applyBorder="1" applyAlignment="1" applyProtection="1">
      <alignment horizontal="center"/>
      <protection locked="0"/>
    </xf>
    <xf numFmtId="0" fontId="2" fillId="0" borderId="78" xfId="1" applyBorder="1" applyAlignment="1">
      <alignment horizontal="center" vertical="top"/>
    </xf>
    <xf numFmtId="1" fontId="2" fillId="0" borderId="82" xfId="1" applyNumberFormat="1" applyBorder="1" applyAlignment="1">
      <alignment horizontal="center" vertical="center"/>
    </xf>
    <xf numFmtId="0" fontId="2" fillId="0" borderId="82" xfId="1" applyBorder="1" applyAlignment="1">
      <alignment horizontal="center"/>
    </xf>
    <xf numFmtId="0" fontId="2" fillId="0" borderId="106" xfId="1" applyBorder="1"/>
    <xf numFmtId="0" fontId="2" fillId="39" borderId="0" xfId="1" applyFill="1"/>
    <xf numFmtId="0" fontId="49" fillId="79" borderId="72" xfId="2" applyFont="1" applyFill="1" applyBorder="1" applyAlignment="1" applyProtection="1">
      <alignment horizontal="center"/>
      <protection locked="0"/>
    </xf>
    <xf numFmtId="0" fontId="49" fillId="79" borderId="73" xfId="2" applyFont="1" applyFill="1" applyBorder="1" applyAlignment="1" applyProtection="1">
      <alignment horizontal="center"/>
      <protection locked="0"/>
    </xf>
    <xf numFmtId="0" fontId="49" fillId="20" borderId="66" xfId="2" applyFont="1" applyFill="1" applyBorder="1" applyAlignment="1" applyProtection="1">
      <alignment horizontal="center"/>
      <protection locked="0"/>
    </xf>
    <xf numFmtId="0" fontId="49" fillId="20" borderId="69" xfId="2" applyFont="1" applyFill="1" applyBorder="1" applyAlignment="1" applyProtection="1">
      <alignment horizontal="center"/>
      <protection locked="0"/>
    </xf>
    <xf numFmtId="0" fontId="49" fillId="79" borderId="66" xfId="2" applyFont="1" applyFill="1" applyBorder="1" applyAlignment="1" applyProtection="1">
      <alignment horizontal="center"/>
      <protection locked="0"/>
    </xf>
    <xf numFmtId="0" fontId="49" fillId="79" borderId="69" xfId="2" applyFont="1" applyFill="1" applyBorder="1" applyAlignment="1" applyProtection="1">
      <alignment horizontal="center"/>
      <protection locked="0"/>
    </xf>
    <xf numFmtId="0" fontId="49" fillId="20" borderId="82" xfId="2" applyFont="1" applyFill="1" applyBorder="1" applyAlignment="1" applyProtection="1">
      <alignment horizontal="center"/>
      <protection locked="0"/>
    </xf>
    <xf numFmtId="0" fontId="49" fillId="20" borderId="101" xfId="2" applyFont="1" applyFill="1" applyBorder="1" applyAlignment="1" applyProtection="1">
      <alignment horizontal="center"/>
      <protection locked="0"/>
    </xf>
    <xf numFmtId="0" fontId="2" fillId="5" borderId="66" xfId="1" applyFill="1" applyBorder="1"/>
    <xf numFmtId="0" fontId="44" fillId="5" borderId="66" xfId="1" applyFont="1" applyFill="1" applyBorder="1" applyAlignment="1">
      <alignment horizontal="left"/>
    </xf>
    <xf numFmtId="0" fontId="2" fillId="39" borderId="66" xfId="1" applyFill="1" applyBorder="1" applyAlignment="1">
      <alignment horizontal="center" vertical="center"/>
    </xf>
    <xf numFmtId="0" fontId="2" fillId="39" borderId="66" xfId="1" applyFill="1" applyBorder="1"/>
    <xf numFmtId="0" fontId="2" fillId="0" borderId="0" xfId="1" applyAlignment="1">
      <alignment horizontal="right"/>
    </xf>
    <xf numFmtId="0" fontId="0" fillId="23" borderId="0" xfId="0" applyFill="1"/>
    <xf numFmtId="0" fontId="2" fillId="14" borderId="13" xfId="1" applyFill="1" applyBorder="1"/>
    <xf numFmtId="0" fontId="2" fillId="14" borderId="66" xfId="1" applyFill="1" applyBorder="1"/>
    <xf numFmtId="0" fontId="93" fillId="0" borderId="0" xfId="0" applyFont="1"/>
    <xf numFmtId="0" fontId="0" fillId="0" borderId="9" xfId="0" applyBorder="1"/>
    <xf numFmtId="0" fontId="0" fillId="0" borderId="8" xfId="0" applyBorder="1"/>
    <xf numFmtId="0" fontId="0" fillId="0" borderId="10" xfId="0" applyBorder="1"/>
    <xf numFmtId="0" fontId="0" fillId="0" borderId="13" xfId="0" applyBorder="1"/>
    <xf numFmtId="0" fontId="0" fillId="0" borderId="14" xfId="0" applyBorder="1"/>
    <xf numFmtId="0" fontId="0" fillId="0" borderId="50" xfId="0" applyBorder="1"/>
    <xf numFmtId="0" fontId="0" fillId="0" borderId="52" xfId="0" applyBorder="1"/>
    <xf numFmtId="0" fontId="0" fillId="0" borderId="100" xfId="0" applyBorder="1"/>
    <xf numFmtId="0" fontId="0" fillId="0" borderId="80" xfId="0" applyBorder="1"/>
    <xf numFmtId="0" fontId="0" fillId="0" borderId="70" xfId="0" applyBorder="1"/>
    <xf numFmtId="0" fontId="0" fillId="0" borderId="111" xfId="0" applyBorder="1"/>
    <xf numFmtId="0" fontId="0" fillId="0" borderId="74" xfId="0" applyBorder="1"/>
    <xf numFmtId="0" fontId="0" fillId="0" borderId="72" xfId="0" applyBorder="1"/>
    <xf numFmtId="0" fontId="0" fillId="0" borderId="107" xfId="0" applyBorder="1"/>
    <xf numFmtId="0" fontId="0" fillId="0" borderId="28" xfId="0" applyBorder="1"/>
    <xf numFmtId="0" fontId="0" fillId="0" borderId="25" xfId="0" applyBorder="1"/>
    <xf numFmtId="0" fontId="0" fillId="0" borderId="29" xfId="0" applyBorder="1"/>
    <xf numFmtId="0" fontId="0" fillId="0" borderId="81" xfId="0" applyBorder="1"/>
    <xf numFmtId="0" fontId="0" fillId="0" borderId="106" xfId="0" applyBorder="1"/>
    <xf numFmtId="0" fontId="0" fillId="0" borderId="51" xfId="0" applyBorder="1"/>
    <xf numFmtId="0" fontId="7" fillId="4" borderId="0" xfId="1" applyFont="1" applyFill="1"/>
    <xf numFmtId="0" fontId="2" fillId="4" borderId="0" xfId="1" applyFill="1" applyAlignment="1">
      <alignment horizontal="left" vertical="center" textRotation="180"/>
    </xf>
    <xf numFmtId="2" fontId="3" fillId="16" borderId="0" xfId="2" applyNumberFormat="1" applyFont="1" applyFill="1" applyAlignment="1">
      <alignment horizontal="center" vertical="center"/>
    </xf>
    <xf numFmtId="0" fontId="25" fillId="19" borderId="46" xfId="2" applyFont="1" applyFill="1" applyBorder="1"/>
    <xf numFmtId="0" fontId="25" fillId="41" borderId="46" xfId="2" applyFont="1" applyFill="1" applyBorder="1"/>
    <xf numFmtId="0" fontId="25" fillId="34" borderId="46" xfId="2" applyFont="1" applyFill="1" applyBorder="1"/>
    <xf numFmtId="0" fontId="25" fillId="16" borderId="46" xfId="0" applyFont="1" applyFill="1" applyBorder="1" applyAlignment="1">
      <alignment horizontal="center"/>
    </xf>
    <xf numFmtId="0" fontId="25" fillId="16" borderId="29" xfId="0" applyFont="1" applyFill="1" applyBorder="1" applyAlignment="1">
      <alignment horizontal="center"/>
    </xf>
    <xf numFmtId="1" fontId="2" fillId="0" borderId="80" xfId="1" applyNumberFormat="1" applyBorder="1"/>
    <xf numFmtId="0" fontId="0" fillId="25" borderId="0" xfId="0" applyFill="1"/>
    <xf numFmtId="0" fontId="49" fillId="79" borderId="82" xfId="2" applyFont="1" applyFill="1" applyBorder="1" applyAlignment="1" applyProtection="1">
      <alignment horizontal="center"/>
      <protection locked="0"/>
    </xf>
    <xf numFmtId="0" fontId="49" fillId="79" borderId="101" xfId="2" applyFont="1" applyFill="1" applyBorder="1" applyAlignment="1" applyProtection="1">
      <alignment horizontal="center"/>
      <protection locked="0"/>
    </xf>
    <xf numFmtId="0" fontId="36" fillId="20" borderId="33" xfId="2" applyFont="1" applyFill="1" applyBorder="1" applyAlignment="1">
      <alignment horizontal="center"/>
    </xf>
    <xf numFmtId="0" fontId="49" fillId="0" borderId="75" xfId="1" applyFont="1" applyBorder="1" applyAlignment="1">
      <alignment horizontal="center" vertical="center"/>
    </xf>
    <xf numFmtId="0" fontId="1" fillId="20" borderId="75" xfId="2" applyFill="1" applyBorder="1" applyAlignment="1">
      <alignment horizontal="center"/>
    </xf>
    <xf numFmtId="0" fontId="35" fillId="0" borderId="67" xfId="2" applyFont="1" applyBorder="1" applyAlignment="1">
      <alignment horizontal="center"/>
    </xf>
    <xf numFmtId="0" fontId="36" fillId="0" borderId="75" xfId="2" applyFont="1" applyBorder="1" applyAlignment="1">
      <alignment horizontal="center" vertical="center"/>
    </xf>
    <xf numFmtId="0" fontId="36" fillId="12" borderId="75" xfId="2" applyFont="1" applyFill="1" applyBorder="1" applyAlignment="1">
      <alignment horizontal="center" vertical="center"/>
    </xf>
    <xf numFmtId="0" fontId="36" fillId="12" borderId="75" xfId="2" applyFont="1" applyFill="1" applyBorder="1" applyAlignment="1">
      <alignment horizontal="center"/>
    </xf>
    <xf numFmtId="0" fontId="36" fillId="0" borderId="75" xfId="2" applyFont="1" applyBorder="1" applyAlignment="1">
      <alignment horizontal="center"/>
    </xf>
    <xf numFmtId="0" fontId="36" fillId="20" borderId="66" xfId="2" applyFont="1" applyFill="1" applyBorder="1" applyAlignment="1">
      <alignment horizontal="center"/>
    </xf>
    <xf numFmtId="0" fontId="36" fillId="16" borderId="76" xfId="2" applyFont="1" applyFill="1" applyBorder="1" applyAlignment="1">
      <alignment horizontal="center"/>
    </xf>
    <xf numFmtId="0" fontId="36" fillId="20" borderId="75" xfId="2" applyFont="1" applyFill="1" applyBorder="1" applyAlignment="1">
      <alignment horizontal="center"/>
    </xf>
    <xf numFmtId="0" fontId="36" fillId="20" borderId="38" xfId="2" applyFont="1" applyFill="1" applyBorder="1" applyAlignment="1">
      <alignment horizontal="center"/>
    </xf>
    <xf numFmtId="0" fontId="36" fillId="12" borderId="78" xfId="2" applyFont="1" applyFill="1" applyBorder="1" applyAlignment="1">
      <alignment horizontal="center"/>
    </xf>
    <xf numFmtId="0" fontId="36" fillId="12" borderId="82" xfId="2" applyFont="1" applyFill="1" applyBorder="1" applyAlignment="1">
      <alignment horizontal="center"/>
    </xf>
    <xf numFmtId="0" fontId="92" fillId="43" borderId="67" xfId="2" applyFont="1" applyFill="1" applyBorder="1" applyAlignment="1">
      <alignment horizontal="center"/>
    </xf>
    <xf numFmtId="0" fontId="36" fillId="20" borderId="70" xfId="2" applyFont="1" applyFill="1" applyBorder="1" applyAlignment="1">
      <alignment horizontal="center"/>
    </xf>
    <xf numFmtId="0" fontId="36" fillId="12" borderId="73" xfId="2" applyFont="1" applyFill="1" applyBorder="1" applyAlignment="1">
      <alignment horizontal="center"/>
    </xf>
    <xf numFmtId="1" fontId="36" fillId="0" borderId="69" xfId="2" applyNumberFormat="1" applyFont="1" applyBorder="1" applyAlignment="1">
      <alignment horizontal="center"/>
    </xf>
    <xf numFmtId="1" fontId="36" fillId="12" borderId="69" xfId="2" applyNumberFormat="1" applyFont="1" applyFill="1" applyBorder="1" applyAlignment="1">
      <alignment horizontal="center"/>
    </xf>
    <xf numFmtId="3" fontId="36" fillId="0" borderId="69" xfId="2" applyNumberFormat="1" applyFont="1" applyBorder="1" applyAlignment="1">
      <alignment horizontal="center"/>
    </xf>
    <xf numFmtId="0" fontId="36" fillId="12" borderId="69" xfId="2" applyFont="1" applyFill="1" applyBorder="1" applyAlignment="1">
      <alignment horizontal="center"/>
    </xf>
    <xf numFmtId="0" fontId="36" fillId="0" borderId="69" xfId="2" applyFont="1" applyBorder="1" applyAlignment="1">
      <alignment horizontal="center"/>
    </xf>
    <xf numFmtId="0" fontId="36" fillId="12" borderId="101" xfId="2" applyFont="1" applyFill="1" applyBorder="1" applyAlignment="1">
      <alignment horizontal="center"/>
    </xf>
    <xf numFmtId="0" fontId="36" fillId="20" borderId="69" xfId="2" applyFont="1" applyFill="1" applyBorder="1" applyAlignment="1">
      <alignment horizontal="center"/>
    </xf>
    <xf numFmtId="0" fontId="34" fillId="14" borderId="67" xfId="2" applyFont="1" applyFill="1" applyBorder="1" applyAlignment="1">
      <alignment horizontal="center"/>
    </xf>
    <xf numFmtId="0" fontId="36" fillId="20" borderId="101" xfId="2" applyFont="1" applyFill="1" applyBorder="1" applyAlignment="1">
      <alignment horizontal="center"/>
    </xf>
    <xf numFmtId="0" fontId="34" fillId="21" borderId="46" xfId="2" applyFont="1" applyFill="1" applyBorder="1" applyAlignment="1">
      <alignment horizontal="center"/>
    </xf>
    <xf numFmtId="0" fontId="17" fillId="20" borderId="46" xfId="1" applyFont="1" applyFill="1" applyBorder="1" applyAlignment="1">
      <alignment horizontal="center"/>
    </xf>
    <xf numFmtId="0" fontId="58" fillId="0" borderId="9" xfId="1" applyFont="1" applyBorder="1" applyAlignment="1">
      <alignment horizontal="left"/>
    </xf>
    <xf numFmtId="0" fontId="58" fillId="0" borderId="8" xfId="1" applyFont="1" applyBorder="1" applyAlignment="1">
      <alignment horizontal="left"/>
    </xf>
    <xf numFmtId="0" fontId="58" fillId="0" borderId="9" xfId="1" applyFont="1" applyBorder="1"/>
    <xf numFmtId="0" fontId="34" fillId="5" borderId="138" xfId="2" applyFont="1" applyFill="1" applyBorder="1" applyAlignment="1">
      <alignment horizontal="center"/>
    </xf>
    <xf numFmtId="0" fontId="34" fillId="20" borderId="75" xfId="2" applyFont="1" applyFill="1" applyBorder="1" applyAlignment="1">
      <alignment horizontal="center"/>
    </xf>
    <xf numFmtId="0" fontId="34" fillId="5" borderId="75" xfId="2" applyFont="1" applyFill="1" applyBorder="1" applyAlignment="1">
      <alignment horizontal="center"/>
    </xf>
    <xf numFmtId="0" fontId="34" fillId="0" borderId="75" xfId="2" applyFont="1" applyBorder="1" applyAlignment="1">
      <alignment horizontal="center"/>
    </xf>
    <xf numFmtId="0" fontId="34" fillId="5" borderId="38" xfId="2" applyFont="1" applyFill="1" applyBorder="1" applyAlignment="1">
      <alignment horizontal="center"/>
    </xf>
    <xf numFmtId="0" fontId="34" fillId="0" borderId="67" xfId="2" applyFont="1" applyBorder="1" applyAlignment="1">
      <alignment horizontal="center"/>
    </xf>
    <xf numFmtId="0" fontId="34" fillId="5" borderId="68" xfId="2" applyFont="1" applyFill="1" applyBorder="1" applyAlignment="1">
      <alignment horizontal="center"/>
    </xf>
    <xf numFmtId="0" fontId="34" fillId="20" borderId="38" xfId="2" applyFont="1" applyFill="1" applyBorder="1" applyAlignment="1">
      <alignment horizontal="center"/>
    </xf>
    <xf numFmtId="0" fontId="2" fillId="0" borderId="81" xfId="1" applyBorder="1"/>
    <xf numFmtId="0" fontId="58" fillId="0" borderId="0" xfId="1" applyFont="1" applyAlignment="1">
      <alignment horizontal="center"/>
    </xf>
    <xf numFmtId="0" fontId="17" fillId="0" borderId="10" xfId="1" applyFont="1" applyBorder="1" applyAlignment="1">
      <alignment horizontal="center"/>
    </xf>
    <xf numFmtId="0" fontId="2" fillId="38" borderId="46" xfId="1" applyFill="1" applyBorder="1"/>
    <xf numFmtId="0" fontId="2" fillId="0" borderId="74" xfId="1" applyBorder="1"/>
    <xf numFmtId="0" fontId="2" fillId="0" borderId="138" xfId="1" applyBorder="1" applyAlignment="1">
      <alignment horizontal="center"/>
    </xf>
    <xf numFmtId="0" fontId="17" fillId="0" borderId="138" xfId="1" applyFont="1" applyBorder="1" applyAlignment="1">
      <alignment horizontal="center"/>
    </xf>
    <xf numFmtId="0" fontId="17" fillId="0" borderId="38" xfId="1" applyFont="1" applyBorder="1" applyAlignment="1">
      <alignment horizontal="center"/>
    </xf>
    <xf numFmtId="0" fontId="17" fillId="0" borderId="139" xfId="1" applyFont="1" applyBorder="1" applyAlignment="1">
      <alignment horizontal="center"/>
    </xf>
    <xf numFmtId="0" fontId="2" fillId="38" borderId="9" xfId="1" applyFill="1" applyBorder="1"/>
    <xf numFmtId="0" fontId="22" fillId="38" borderId="28" xfId="1" applyFont="1" applyFill="1" applyBorder="1" applyAlignment="1">
      <alignment horizontal="center"/>
    </xf>
    <xf numFmtId="0" fontId="2" fillId="38" borderId="9" xfId="1" applyFill="1" applyBorder="1" applyAlignment="1">
      <alignment horizontal="center"/>
    </xf>
    <xf numFmtId="0" fontId="2" fillId="38" borderId="75" xfId="1" applyFill="1" applyBorder="1"/>
    <xf numFmtId="0" fontId="2" fillId="38" borderId="0" xfId="1" applyFill="1"/>
    <xf numFmtId="0" fontId="2" fillId="38" borderId="68" xfId="1" applyFill="1" applyBorder="1"/>
    <xf numFmtId="0" fontId="2" fillId="38" borderId="0" xfId="1" applyFill="1" applyAlignment="1">
      <alignment horizontal="center" vertical="center"/>
    </xf>
    <xf numFmtId="3" fontId="0" fillId="0" borderId="0" xfId="0" applyNumberFormat="1"/>
    <xf numFmtId="164" fontId="0" fillId="0" borderId="0" xfId="0" applyNumberFormat="1"/>
    <xf numFmtId="0" fontId="37" fillId="0" borderId="0" xfId="2" applyFont="1" applyAlignment="1">
      <alignment horizontal="left" vertical="top" wrapText="1"/>
    </xf>
    <xf numFmtId="0" fontId="2" fillId="21" borderId="28" xfId="1" applyFill="1" applyBorder="1" applyAlignment="1">
      <alignment horizontal="center"/>
    </xf>
    <xf numFmtId="0" fontId="2" fillId="21" borderId="29" xfId="1" applyFill="1" applyBorder="1" applyAlignment="1">
      <alignment horizontal="center"/>
    </xf>
    <xf numFmtId="0" fontId="17" fillId="0" borderId="33" xfId="1" applyFont="1" applyBorder="1" applyAlignment="1">
      <alignment horizontal="center" vertical="top" wrapText="1"/>
    </xf>
    <xf numFmtId="0" fontId="44" fillId="5" borderId="72" xfId="1" applyFont="1" applyFill="1" applyBorder="1" applyAlignment="1">
      <alignment horizontal="center" vertical="center"/>
    </xf>
    <xf numFmtId="0" fontId="2" fillId="0" borderId="9" xfId="1" applyBorder="1" applyAlignment="1">
      <alignment vertical="center"/>
    </xf>
    <xf numFmtId="0" fontId="2" fillId="0" borderId="50" xfId="1" applyBorder="1" applyAlignment="1">
      <alignment vertical="center"/>
    </xf>
    <xf numFmtId="0" fontId="2" fillId="0" borderId="0" xfId="1" applyAlignment="1">
      <alignment vertical="center"/>
    </xf>
    <xf numFmtId="0" fontId="0" fillId="0" borderId="66" xfId="0" applyBorder="1" applyAlignment="1">
      <alignment horizontal="center"/>
    </xf>
    <xf numFmtId="0" fontId="2" fillId="21" borderId="9" xfId="1" applyFill="1" applyBorder="1" applyAlignment="1">
      <alignment horizontal="center"/>
    </xf>
    <xf numFmtId="0" fontId="2" fillId="21" borderId="10" xfId="1" applyFill="1" applyBorder="1" applyAlignment="1">
      <alignment horizontal="center"/>
    </xf>
    <xf numFmtId="1" fontId="2" fillId="0" borderId="0" xfId="1" applyNumberFormat="1"/>
    <xf numFmtId="0" fontId="25" fillId="0" borderId="28" xfId="0" applyFont="1" applyBorder="1" applyAlignment="1">
      <alignment horizontal="center" vertical="center"/>
    </xf>
    <xf numFmtId="0" fontId="0" fillId="0" borderId="25" xfId="0" applyBorder="1" applyAlignment="1">
      <alignment horizontal="center" vertical="center"/>
    </xf>
    <xf numFmtId="0" fontId="0" fillId="0" borderId="29" xfId="0" applyBorder="1" applyAlignment="1">
      <alignment horizontal="center" vertical="center"/>
    </xf>
    <xf numFmtId="14" fontId="0" fillId="25" borderId="66" xfId="0" applyNumberFormat="1" applyFill="1" applyBorder="1" applyAlignment="1">
      <alignment horizontal="center" vertical="center"/>
    </xf>
    <xf numFmtId="0" fontId="0" fillId="25" borderId="66" xfId="0" applyFill="1" applyBorder="1" applyAlignment="1">
      <alignment horizontal="center"/>
    </xf>
    <xf numFmtId="2" fontId="0" fillId="25" borderId="66" xfId="0" applyNumberFormat="1" applyFill="1" applyBorder="1" applyAlignment="1">
      <alignment horizontal="center" vertical="center"/>
    </xf>
    <xf numFmtId="2" fontId="0" fillId="25" borderId="66" xfId="0" applyNumberFormat="1" applyFill="1" applyBorder="1" applyAlignment="1">
      <alignment horizontal="center"/>
    </xf>
    <xf numFmtId="14" fontId="0" fillId="80" borderId="66" xfId="0" applyNumberFormat="1" applyFill="1" applyBorder="1" applyAlignment="1">
      <alignment horizontal="center" vertical="center"/>
    </xf>
    <xf numFmtId="0" fontId="0" fillId="80" borderId="66" xfId="0" applyFill="1" applyBorder="1" applyAlignment="1">
      <alignment horizontal="center"/>
    </xf>
    <xf numFmtId="2" fontId="0" fillId="80" borderId="66" xfId="0" applyNumberFormat="1" applyFill="1" applyBorder="1" applyAlignment="1">
      <alignment horizontal="center" vertical="center"/>
    </xf>
    <xf numFmtId="2" fontId="0" fillId="80" borderId="66" xfId="0" applyNumberFormat="1" applyFill="1" applyBorder="1" applyAlignment="1">
      <alignment horizontal="center"/>
    </xf>
    <xf numFmtId="1" fontId="0" fillId="80" borderId="66" xfId="0" applyNumberFormat="1" applyFill="1" applyBorder="1" applyAlignment="1">
      <alignment horizontal="center"/>
    </xf>
    <xf numFmtId="0" fontId="0" fillId="81" borderId="66" xfId="0" applyFill="1" applyBorder="1"/>
    <xf numFmtId="1" fontId="0" fillId="81" borderId="66" xfId="0" applyNumberFormat="1" applyFill="1" applyBorder="1"/>
    <xf numFmtId="0" fontId="0" fillId="12" borderId="66" xfId="0" applyFill="1" applyBorder="1" applyAlignment="1">
      <alignment horizontal="center"/>
    </xf>
    <xf numFmtId="0" fontId="0" fillId="12" borderId="66" xfId="0" applyFill="1" applyBorder="1" applyAlignment="1">
      <alignment horizontal="center" vertical="center"/>
    </xf>
    <xf numFmtId="164" fontId="0" fillId="80" borderId="66" xfId="0" applyNumberFormat="1" applyFill="1" applyBorder="1" applyAlignment="1">
      <alignment horizontal="center"/>
    </xf>
    <xf numFmtId="164" fontId="0" fillId="25" borderId="66" xfId="0" applyNumberFormat="1" applyFill="1" applyBorder="1" applyAlignment="1">
      <alignment horizontal="center"/>
    </xf>
    <xf numFmtId="2" fontId="0" fillId="25" borderId="66" xfId="0" applyNumberFormat="1" applyFill="1" applyBorder="1" applyAlignment="1">
      <alignment horizontal="center" wrapText="1"/>
    </xf>
    <xf numFmtId="0" fontId="2" fillId="0" borderId="66" xfId="1" applyBorder="1" applyAlignment="1">
      <alignment horizontal="left"/>
    </xf>
    <xf numFmtId="0" fontId="39" fillId="0" borderId="75" xfId="0" applyFont="1" applyBorder="1"/>
    <xf numFmtId="0" fontId="2" fillId="0" borderId="73" xfId="1" applyBorder="1" applyAlignment="1">
      <alignment horizontal="center"/>
    </xf>
    <xf numFmtId="0" fontId="2" fillId="0" borderId="69" xfId="1" applyBorder="1" applyAlignment="1">
      <alignment horizontal="center"/>
    </xf>
    <xf numFmtId="0" fontId="2" fillId="0" borderId="111" xfId="1" applyBorder="1" applyAlignment="1">
      <alignment horizontal="center"/>
    </xf>
    <xf numFmtId="0" fontId="2" fillId="0" borderId="87" xfId="1" applyBorder="1" applyAlignment="1">
      <alignment horizontal="center"/>
    </xf>
    <xf numFmtId="0" fontId="2" fillId="0" borderId="85" xfId="1" applyBorder="1" applyAlignment="1">
      <alignment horizontal="center"/>
    </xf>
    <xf numFmtId="0" fontId="2" fillId="0" borderId="88" xfId="1" applyBorder="1" applyAlignment="1">
      <alignment horizontal="center"/>
    </xf>
    <xf numFmtId="0" fontId="2" fillId="0" borderId="84" xfId="1" applyBorder="1" applyAlignment="1">
      <alignment horizontal="center"/>
    </xf>
    <xf numFmtId="0" fontId="2" fillId="0" borderId="83" xfId="1" applyBorder="1" applyAlignment="1">
      <alignment horizontal="center"/>
    </xf>
    <xf numFmtId="0" fontId="2" fillId="0" borderId="71" xfId="1" applyBorder="1" applyAlignment="1">
      <alignment horizontal="center"/>
    </xf>
    <xf numFmtId="0" fontId="2" fillId="0" borderId="80" xfId="1" applyBorder="1" applyAlignment="1">
      <alignment horizontal="center"/>
    </xf>
    <xf numFmtId="0" fontId="101" fillId="0" borderId="76" xfId="1" applyFont="1" applyBorder="1" applyAlignment="1">
      <alignment horizontal="center"/>
    </xf>
    <xf numFmtId="0" fontId="101" fillId="0" borderId="75" xfId="1" applyFont="1" applyBorder="1" applyAlignment="1">
      <alignment horizontal="center"/>
    </xf>
    <xf numFmtId="0" fontId="101" fillId="0" borderId="38" xfId="1" applyFont="1" applyBorder="1" applyAlignment="1">
      <alignment horizontal="center"/>
    </xf>
    <xf numFmtId="0" fontId="101" fillId="0" borderId="138" xfId="1" applyFont="1" applyBorder="1" applyAlignment="1">
      <alignment horizontal="center"/>
    </xf>
    <xf numFmtId="0" fontId="2" fillId="0" borderId="75" xfId="1" applyBorder="1" applyAlignment="1">
      <alignment horizontal="center"/>
    </xf>
    <xf numFmtId="0" fontId="2" fillId="0" borderId="76" xfId="1" applyBorder="1" applyAlignment="1">
      <alignment horizontal="center"/>
    </xf>
    <xf numFmtId="3" fontId="17" fillId="79" borderId="28" xfId="1" applyNumberFormat="1" applyFont="1" applyFill="1" applyBorder="1" applyAlignment="1">
      <alignment horizontal="center"/>
    </xf>
    <xf numFmtId="0" fontId="2" fillId="79" borderId="29" xfId="1" applyFill="1" applyBorder="1"/>
    <xf numFmtId="0" fontId="2" fillId="0" borderId="80" xfId="1" applyBorder="1" applyAlignment="1">
      <alignment horizontal="center" vertical="center"/>
    </xf>
    <xf numFmtId="0" fontId="102" fillId="0" borderId="0" xfId="0" applyFont="1"/>
    <xf numFmtId="3" fontId="2" fillId="0" borderId="75" xfId="1" applyNumberFormat="1" applyBorder="1" applyAlignment="1">
      <alignment horizontal="center" vertical="center"/>
    </xf>
    <xf numFmtId="0" fontId="0" fillId="0" borderId="68" xfId="0" applyBorder="1" applyAlignment="1">
      <alignment horizontal="left" vertical="center"/>
    </xf>
    <xf numFmtId="0" fontId="0" fillId="0" borderId="68" xfId="0" applyBorder="1" applyAlignment="1">
      <alignment horizontal="center" vertical="center"/>
    </xf>
    <xf numFmtId="164" fontId="0" fillId="0" borderId="68" xfId="0" applyNumberFormat="1" applyBorder="1" applyAlignment="1">
      <alignment horizontal="center" vertical="center"/>
    </xf>
    <xf numFmtId="0" fontId="2" fillId="0" borderId="68" xfId="1" applyBorder="1" applyAlignment="1">
      <alignment horizontal="center"/>
    </xf>
    <xf numFmtId="0" fontId="0" fillId="14" borderId="67" xfId="0" applyFill="1" applyBorder="1" applyAlignment="1">
      <alignment horizontal="left" vertical="center"/>
    </xf>
    <xf numFmtId="0" fontId="0" fillId="14" borderId="67" xfId="0" applyFill="1" applyBorder="1" applyAlignment="1">
      <alignment horizontal="center" vertical="center"/>
    </xf>
    <xf numFmtId="0" fontId="2" fillId="21" borderId="28" xfId="1" applyFill="1" applyBorder="1" applyAlignment="1">
      <alignment horizontal="center"/>
    </xf>
    <xf numFmtId="0" fontId="2" fillId="21" borderId="29" xfId="1" applyFill="1" applyBorder="1" applyAlignment="1">
      <alignment horizontal="center"/>
    </xf>
    <xf numFmtId="0" fontId="17" fillId="12" borderId="69" xfId="1" applyFont="1" applyFill="1" applyBorder="1" applyAlignment="1">
      <alignment horizontal="center" vertical="center" wrapText="1"/>
    </xf>
    <xf numFmtId="0" fontId="17" fillId="12" borderId="70" xfId="1" applyFont="1" applyFill="1" applyBorder="1" applyAlignment="1">
      <alignment horizontal="center" vertical="center" wrapText="1"/>
    </xf>
    <xf numFmtId="0" fontId="17" fillId="3" borderId="9" xfId="1" applyFont="1" applyFill="1" applyBorder="1" applyAlignment="1">
      <alignment horizontal="center"/>
    </xf>
    <xf numFmtId="0" fontId="2" fillId="3" borderId="10" xfId="1" applyFill="1" applyBorder="1" applyAlignment="1">
      <alignment horizontal="center"/>
    </xf>
    <xf numFmtId="0" fontId="2" fillId="21" borderId="96" xfId="1" applyFill="1" applyBorder="1" applyAlignment="1">
      <alignment horizontal="center"/>
    </xf>
    <xf numFmtId="0" fontId="2" fillId="21" borderId="113" xfId="1" applyFill="1" applyBorder="1" applyAlignment="1">
      <alignment horizontal="center"/>
    </xf>
    <xf numFmtId="0" fontId="38" fillId="21" borderId="28" xfId="1" applyFont="1" applyFill="1" applyBorder="1" applyAlignment="1">
      <alignment horizontal="center"/>
    </xf>
    <xf numFmtId="0" fontId="38" fillId="21" borderId="29" xfId="1" applyFont="1" applyFill="1" applyBorder="1" applyAlignment="1">
      <alignment horizontal="center"/>
    </xf>
    <xf numFmtId="0" fontId="2" fillId="21" borderId="93" xfId="1" applyFill="1" applyBorder="1" applyAlignment="1">
      <alignment horizontal="center"/>
    </xf>
    <xf numFmtId="164" fontId="14" fillId="14" borderId="19" xfId="1" applyNumberFormat="1" applyFont="1" applyFill="1" applyBorder="1" applyAlignment="1">
      <alignment horizontal="center" vertical="center"/>
    </xf>
    <xf numFmtId="164" fontId="14" fillId="14" borderId="108" xfId="1" applyNumberFormat="1" applyFont="1" applyFill="1" applyBorder="1" applyAlignment="1">
      <alignment horizontal="center" vertical="center"/>
    </xf>
    <xf numFmtId="164" fontId="14" fillId="14" borderId="27" xfId="1" applyNumberFormat="1" applyFont="1" applyFill="1" applyBorder="1" applyAlignment="1">
      <alignment horizontal="center" vertical="center"/>
    </xf>
    <xf numFmtId="164" fontId="14" fillId="14" borderId="89" xfId="1" applyNumberFormat="1" applyFont="1" applyFill="1" applyBorder="1" applyAlignment="1">
      <alignment horizontal="center" vertical="center"/>
    </xf>
    <xf numFmtId="164" fontId="14" fillId="14" borderId="35" xfId="1" applyNumberFormat="1" applyFont="1" applyFill="1" applyBorder="1" applyAlignment="1">
      <alignment horizontal="center" vertical="center"/>
    </xf>
    <xf numFmtId="164" fontId="14" fillId="14" borderId="109" xfId="1" applyNumberFormat="1" applyFont="1" applyFill="1" applyBorder="1" applyAlignment="1">
      <alignment horizontal="center" vertical="center"/>
    </xf>
    <xf numFmtId="0" fontId="15" fillId="19" borderId="101" xfId="1" applyFont="1" applyFill="1" applyBorder="1" applyAlignment="1">
      <alignment horizontal="center" vertical="center"/>
    </xf>
    <xf numFmtId="0" fontId="15" fillId="19" borderId="78" xfId="1" applyFont="1" applyFill="1" applyBorder="1" applyAlignment="1">
      <alignment horizontal="center" vertical="center"/>
    </xf>
    <xf numFmtId="0" fontId="15" fillId="19" borderId="110" xfId="1" applyFont="1" applyFill="1" applyBorder="1" applyAlignment="1">
      <alignment horizontal="center" vertical="center"/>
    </xf>
    <xf numFmtId="0" fontId="15" fillId="19" borderId="89" xfId="1" applyFont="1" applyFill="1" applyBorder="1" applyAlignment="1">
      <alignment horizontal="center" vertical="center"/>
    </xf>
    <xf numFmtId="0" fontId="15" fillId="19" borderId="73" xfId="1" applyFont="1" applyFill="1" applyBorder="1" applyAlignment="1">
      <alignment horizontal="center" vertical="center"/>
    </xf>
    <xf numFmtId="0" fontId="15" fillId="19" borderId="74" xfId="1" applyFont="1" applyFill="1" applyBorder="1" applyAlignment="1">
      <alignment horizontal="center" vertical="center"/>
    </xf>
    <xf numFmtId="0" fontId="4" fillId="5" borderId="53" xfId="1" applyFont="1" applyFill="1" applyBorder="1" applyAlignment="1">
      <alignment horizontal="center" vertical="center"/>
    </xf>
    <xf numFmtId="0" fontId="4" fillId="5" borderId="54" xfId="1" applyFont="1" applyFill="1" applyBorder="1" applyAlignment="1">
      <alignment horizontal="center" vertical="center"/>
    </xf>
    <xf numFmtId="0" fontId="4" fillId="5" borderId="55" xfId="1" applyFont="1" applyFill="1" applyBorder="1" applyAlignment="1">
      <alignment horizontal="center" vertical="center"/>
    </xf>
    <xf numFmtId="0" fontId="4" fillId="5" borderId="56" xfId="1" applyFont="1" applyFill="1" applyBorder="1" applyAlignment="1">
      <alignment horizontal="center" vertical="center"/>
    </xf>
    <xf numFmtId="0" fontId="4" fillId="5" borderId="0" xfId="1" applyFont="1" applyFill="1" applyAlignment="1">
      <alignment horizontal="center" vertical="center"/>
    </xf>
    <xf numFmtId="0" fontId="4" fillId="5" borderId="57" xfId="1" applyFont="1" applyFill="1" applyBorder="1" applyAlignment="1">
      <alignment horizontal="center" vertical="center"/>
    </xf>
    <xf numFmtId="0" fontId="8" fillId="11" borderId="53" xfId="1" applyFont="1" applyFill="1" applyBorder="1" applyAlignment="1">
      <alignment horizontal="center" vertical="center" wrapText="1"/>
    </xf>
    <xf numFmtId="0" fontId="8" fillId="11" borderId="54" xfId="1" applyFont="1" applyFill="1" applyBorder="1" applyAlignment="1">
      <alignment horizontal="center" vertical="center" wrapText="1"/>
    </xf>
    <xf numFmtId="0" fontId="8" fillId="11" borderId="56" xfId="1" applyFont="1" applyFill="1" applyBorder="1" applyAlignment="1">
      <alignment horizontal="center" vertical="center" wrapText="1"/>
    </xf>
    <xf numFmtId="0" fontId="8" fillId="11" borderId="0" xfId="1" applyFont="1" applyFill="1" applyAlignment="1">
      <alignment horizontal="center" vertical="center" wrapText="1"/>
    </xf>
    <xf numFmtId="0" fontId="8" fillId="11" borderId="59" xfId="1" applyFont="1" applyFill="1" applyBorder="1" applyAlignment="1">
      <alignment horizontal="center" vertical="center" wrapText="1"/>
    </xf>
    <xf numFmtId="0" fontId="8" fillId="11" borderId="60" xfId="1" applyFont="1" applyFill="1" applyBorder="1" applyAlignment="1">
      <alignment horizontal="center" vertical="center" wrapText="1"/>
    </xf>
    <xf numFmtId="0" fontId="8" fillId="11" borderId="55" xfId="1" applyFont="1" applyFill="1" applyBorder="1" applyAlignment="1">
      <alignment horizontal="center" vertical="center" wrapText="1"/>
    </xf>
    <xf numFmtId="0" fontId="8" fillId="11" borderId="57" xfId="1" applyFont="1" applyFill="1" applyBorder="1" applyAlignment="1">
      <alignment horizontal="center" vertical="center" wrapText="1"/>
    </xf>
    <xf numFmtId="0" fontId="8" fillId="11" borderId="61" xfId="1" applyFont="1" applyFill="1" applyBorder="1" applyAlignment="1">
      <alignment horizontal="center" vertical="center" wrapText="1"/>
    </xf>
    <xf numFmtId="1" fontId="13" fillId="14" borderId="42" xfId="1" applyNumberFormat="1" applyFont="1" applyFill="1" applyBorder="1" applyAlignment="1">
      <alignment horizontal="center" vertical="center"/>
    </xf>
    <xf numFmtId="1" fontId="13" fillId="14" borderId="43" xfId="1" applyNumberFormat="1" applyFont="1" applyFill="1" applyBorder="1" applyAlignment="1">
      <alignment horizontal="center" vertical="center"/>
    </xf>
    <xf numFmtId="1" fontId="13" fillId="14" borderId="44" xfId="1" applyNumberFormat="1" applyFont="1" applyFill="1" applyBorder="1" applyAlignment="1">
      <alignment horizontal="center" vertical="center"/>
    </xf>
    <xf numFmtId="0" fontId="13" fillId="3" borderId="42" xfId="1" applyFont="1" applyFill="1" applyBorder="1" applyAlignment="1">
      <alignment horizontal="center" vertical="center"/>
    </xf>
    <xf numFmtId="0" fontId="13" fillId="3" borderId="43" xfId="1" applyFont="1" applyFill="1" applyBorder="1" applyAlignment="1">
      <alignment horizontal="center" vertical="center"/>
    </xf>
    <xf numFmtId="0" fontId="13" fillId="3" borderId="44" xfId="1" applyFont="1" applyFill="1" applyBorder="1" applyAlignment="1">
      <alignment horizontal="center" vertical="center"/>
    </xf>
    <xf numFmtId="0" fontId="12" fillId="14" borderId="19" xfId="1" applyFont="1" applyFill="1" applyBorder="1" applyAlignment="1">
      <alignment horizontal="center" vertical="center" wrapText="1" readingOrder="1"/>
    </xf>
    <xf numFmtId="0" fontId="12" fillId="14" borderId="32" xfId="1" applyFont="1" applyFill="1" applyBorder="1" applyAlignment="1">
      <alignment horizontal="center" vertical="center" wrapText="1" readingOrder="1"/>
    </xf>
    <xf numFmtId="0" fontId="12" fillId="14" borderId="27" xfId="1" applyFont="1" applyFill="1" applyBorder="1" applyAlignment="1">
      <alignment horizontal="center" vertical="center" wrapText="1" readingOrder="1"/>
    </xf>
    <xf numFmtId="0" fontId="12" fillId="14" borderId="15" xfId="1" applyFont="1" applyFill="1" applyBorder="1" applyAlignment="1">
      <alignment horizontal="center" vertical="center" wrapText="1" readingOrder="1"/>
    </xf>
    <xf numFmtId="0" fontId="12" fillId="14" borderId="35" xfId="1" applyFont="1" applyFill="1" applyBorder="1" applyAlignment="1">
      <alignment horizontal="center" vertical="center" wrapText="1" readingOrder="1"/>
    </xf>
    <xf numFmtId="0" fontId="12" fillId="14" borderId="36" xfId="1" applyFont="1" applyFill="1" applyBorder="1" applyAlignment="1">
      <alignment horizontal="center" vertical="center" wrapText="1" readingOrder="1"/>
    </xf>
    <xf numFmtId="0" fontId="12" fillId="3" borderId="19" xfId="1" applyFont="1" applyFill="1" applyBorder="1" applyAlignment="1">
      <alignment horizontal="center" wrapText="1" readingOrder="1"/>
    </xf>
    <xf numFmtId="0" fontId="12" fillId="3" borderId="32" xfId="1" applyFont="1" applyFill="1" applyBorder="1" applyAlignment="1">
      <alignment horizontal="center" wrapText="1" readingOrder="1"/>
    </xf>
    <xf numFmtId="0" fontId="12" fillId="3" borderId="27" xfId="1" applyFont="1" applyFill="1" applyBorder="1" applyAlignment="1">
      <alignment horizontal="center" wrapText="1" readingOrder="1"/>
    </xf>
    <xf numFmtId="0" fontId="12" fillId="3" borderId="15" xfId="1" applyFont="1" applyFill="1" applyBorder="1" applyAlignment="1">
      <alignment horizontal="center" wrapText="1" readingOrder="1"/>
    </xf>
    <xf numFmtId="0" fontId="12" fillId="3" borderId="35" xfId="1" applyFont="1" applyFill="1" applyBorder="1" applyAlignment="1">
      <alignment horizontal="center" wrapText="1" readingOrder="1"/>
    </xf>
    <xf numFmtId="0" fontId="12" fillId="3" borderId="36" xfId="1" applyFont="1" applyFill="1" applyBorder="1" applyAlignment="1">
      <alignment horizontal="center" wrapText="1" readingOrder="1"/>
    </xf>
    <xf numFmtId="164" fontId="60" fillId="19" borderId="101" xfId="1" applyNumberFormat="1" applyFont="1" applyFill="1" applyBorder="1" applyAlignment="1">
      <alignment horizontal="center" vertical="center"/>
    </xf>
    <xf numFmtId="164" fontId="60" fillId="19" borderId="78" xfId="1" applyNumberFormat="1" applyFont="1" applyFill="1" applyBorder="1" applyAlignment="1">
      <alignment horizontal="center" vertical="center"/>
    </xf>
    <xf numFmtId="164" fontId="60" fillId="19" borderId="110" xfId="1" applyNumberFormat="1" applyFont="1" applyFill="1" applyBorder="1" applyAlignment="1">
      <alignment horizontal="center" vertical="center"/>
    </xf>
    <xf numFmtId="164" fontId="60" fillId="19" borderId="89" xfId="1" applyNumberFormat="1" applyFont="1" applyFill="1" applyBorder="1" applyAlignment="1">
      <alignment horizontal="center" vertical="center"/>
    </xf>
    <xf numFmtId="164" fontId="60" fillId="19" borderId="73" xfId="1" applyNumberFormat="1" applyFont="1" applyFill="1" applyBorder="1" applyAlignment="1">
      <alignment horizontal="center" vertical="center"/>
    </xf>
    <xf numFmtId="164" fontId="60" fillId="19" borderId="74" xfId="1" applyNumberFormat="1" applyFont="1" applyFill="1" applyBorder="1" applyAlignment="1">
      <alignment horizontal="center" vertical="center"/>
    </xf>
    <xf numFmtId="0" fontId="3" fillId="5" borderId="16" xfId="1" applyFont="1" applyFill="1" applyBorder="1" applyAlignment="1">
      <alignment horizontal="center" vertical="center"/>
    </xf>
    <xf numFmtId="0" fontId="3" fillId="5" borderId="17" xfId="1" applyFont="1" applyFill="1" applyBorder="1" applyAlignment="1">
      <alignment horizontal="center" vertical="center"/>
    </xf>
    <xf numFmtId="0" fontId="3" fillId="5" borderId="18" xfId="1" applyFont="1" applyFill="1" applyBorder="1" applyAlignment="1">
      <alignment horizontal="center" vertical="center"/>
    </xf>
    <xf numFmtId="0" fontId="3" fillId="5" borderId="21" xfId="1" applyFont="1" applyFill="1" applyBorder="1" applyAlignment="1">
      <alignment horizontal="center" vertical="center"/>
    </xf>
    <xf numFmtId="0" fontId="3" fillId="5" borderId="22" xfId="1" applyFont="1" applyFill="1" applyBorder="1" applyAlignment="1">
      <alignment horizontal="center" vertical="center"/>
    </xf>
    <xf numFmtId="0" fontId="3" fillId="5" borderId="23" xfId="1" applyFont="1" applyFill="1" applyBorder="1" applyAlignment="1">
      <alignment horizontal="center" vertical="center"/>
    </xf>
    <xf numFmtId="164" fontId="14" fillId="3" borderId="19" xfId="1" applyNumberFormat="1" applyFont="1" applyFill="1" applyBorder="1" applyAlignment="1">
      <alignment horizontal="center" vertical="center"/>
    </xf>
    <xf numFmtId="164" fontId="14" fillId="3" borderId="108" xfId="1" applyNumberFormat="1" applyFont="1" applyFill="1" applyBorder="1" applyAlignment="1">
      <alignment horizontal="center" vertical="center"/>
    </xf>
    <xf numFmtId="164" fontId="14" fillId="3" borderId="27" xfId="1" applyNumberFormat="1" applyFont="1" applyFill="1" applyBorder="1" applyAlignment="1">
      <alignment horizontal="center" vertical="center"/>
    </xf>
    <xf numFmtId="164" fontId="14" fillId="3" borderId="89" xfId="1" applyNumberFormat="1" applyFont="1" applyFill="1" applyBorder="1" applyAlignment="1">
      <alignment horizontal="center" vertical="center"/>
    </xf>
    <xf numFmtId="164" fontId="14" fillId="3" borderId="35" xfId="1" applyNumberFormat="1" applyFont="1" applyFill="1" applyBorder="1" applyAlignment="1">
      <alignment horizontal="center" vertical="center"/>
    </xf>
    <xf numFmtId="164" fontId="14" fillId="3" borderId="109" xfId="1" applyNumberFormat="1" applyFont="1" applyFill="1" applyBorder="1" applyAlignment="1">
      <alignment horizontal="center" vertical="center"/>
    </xf>
    <xf numFmtId="0" fontId="2" fillId="9" borderId="25" xfId="1" applyFill="1" applyBorder="1" applyAlignment="1">
      <alignment horizontal="center"/>
    </xf>
    <xf numFmtId="0" fontId="2" fillId="9" borderId="29" xfId="1" applyFill="1" applyBorder="1" applyAlignment="1">
      <alignment horizontal="center"/>
    </xf>
    <xf numFmtId="0" fontId="97" fillId="9" borderId="25" xfId="1" applyFont="1" applyFill="1" applyBorder="1" applyAlignment="1">
      <alignment horizontal="center"/>
    </xf>
    <xf numFmtId="0" fontId="97" fillId="9" borderId="29" xfId="1" applyFont="1" applyFill="1" applyBorder="1" applyAlignment="1">
      <alignment horizontal="center"/>
    </xf>
    <xf numFmtId="0" fontId="97" fillId="7" borderId="24" xfId="1" applyFont="1" applyFill="1" applyBorder="1" applyAlignment="1">
      <alignment horizontal="center" vertical="center"/>
    </xf>
    <xf numFmtId="0" fontId="97" fillId="7" borderId="25" xfId="1" applyFont="1" applyFill="1" applyBorder="1" applyAlignment="1">
      <alignment horizontal="center" vertical="center"/>
    </xf>
    <xf numFmtId="0" fontId="97" fillId="7" borderId="26" xfId="1" applyFont="1" applyFill="1" applyBorder="1" applyAlignment="1">
      <alignment horizontal="center" vertical="center"/>
    </xf>
    <xf numFmtId="164" fontId="14" fillId="3" borderId="19" xfId="4" applyNumberFormat="1" applyFont="1" applyFill="1" applyBorder="1" applyAlignment="1">
      <alignment horizontal="center" vertical="center"/>
    </xf>
    <xf numFmtId="164" fontId="14" fillId="3" borderId="108" xfId="4" applyNumberFormat="1" applyFont="1" applyFill="1" applyBorder="1" applyAlignment="1">
      <alignment horizontal="center" vertical="center"/>
    </xf>
    <xf numFmtId="164" fontId="14" fillId="3" borderId="27" xfId="4" applyNumberFormat="1" applyFont="1" applyFill="1" applyBorder="1" applyAlignment="1">
      <alignment horizontal="center" vertical="center"/>
    </xf>
    <xf numFmtId="164" fontId="14" fillId="3" borderId="89" xfId="4" applyNumberFormat="1" applyFont="1" applyFill="1" applyBorder="1" applyAlignment="1">
      <alignment horizontal="center" vertical="center"/>
    </xf>
    <xf numFmtId="164" fontId="14" fillId="3" borderId="35" xfId="4" applyNumberFormat="1" applyFont="1" applyFill="1" applyBorder="1" applyAlignment="1">
      <alignment horizontal="center" vertical="center"/>
    </xf>
    <xf numFmtId="164" fontId="14" fillId="3" borderId="109" xfId="4" applyNumberFormat="1" applyFont="1" applyFill="1" applyBorder="1" applyAlignment="1">
      <alignment horizontal="center" vertical="center"/>
    </xf>
    <xf numFmtId="0" fontId="96" fillId="14" borderId="19" xfId="1" applyFont="1" applyFill="1" applyBorder="1" applyAlignment="1">
      <alignment horizontal="center" vertical="center" wrapText="1" readingOrder="1"/>
    </xf>
    <xf numFmtId="0" fontId="96" fillId="14" borderId="32" xfId="1" applyFont="1" applyFill="1" applyBorder="1" applyAlignment="1">
      <alignment horizontal="center" vertical="center" wrapText="1" readingOrder="1"/>
    </xf>
    <xf numFmtId="0" fontId="96" fillId="14" borderId="27" xfId="1" applyFont="1" applyFill="1" applyBorder="1" applyAlignment="1">
      <alignment horizontal="center" vertical="center" wrapText="1" readingOrder="1"/>
    </xf>
    <xf numFmtId="0" fontId="96" fillId="14" borderId="15" xfId="1" applyFont="1" applyFill="1" applyBorder="1" applyAlignment="1">
      <alignment horizontal="center" vertical="center" wrapText="1" readingOrder="1"/>
    </xf>
    <xf numFmtId="0" fontId="96" fillId="14" borderId="35" xfId="1" applyFont="1" applyFill="1" applyBorder="1" applyAlignment="1">
      <alignment horizontal="center" vertical="center" wrapText="1" readingOrder="1"/>
    </xf>
    <xf numFmtId="0" fontId="96" fillId="14" borderId="36" xfId="1" applyFont="1" applyFill="1" applyBorder="1" applyAlignment="1">
      <alignment horizontal="center" vertical="center" wrapText="1" readingOrder="1"/>
    </xf>
    <xf numFmtId="0" fontId="13" fillId="14" borderId="42" xfId="1" applyFont="1" applyFill="1" applyBorder="1" applyAlignment="1">
      <alignment horizontal="center" vertical="center"/>
    </xf>
    <xf numFmtId="0" fontId="13" fillId="14" borderId="43" xfId="1" applyFont="1" applyFill="1" applyBorder="1" applyAlignment="1">
      <alignment horizontal="center" vertical="center"/>
    </xf>
    <xf numFmtId="0" fontId="13" fillId="14" borderId="44" xfId="1" applyFont="1" applyFill="1" applyBorder="1" applyAlignment="1">
      <alignment horizontal="center" vertical="center"/>
    </xf>
    <xf numFmtId="0" fontId="12" fillId="3" borderId="19" xfId="1" applyFont="1" applyFill="1" applyBorder="1" applyAlignment="1">
      <alignment horizontal="center" vertical="center" wrapText="1" readingOrder="1"/>
    </xf>
    <xf numFmtId="0" fontId="12" fillId="3" borderId="32" xfId="1" applyFont="1" applyFill="1" applyBorder="1" applyAlignment="1">
      <alignment horizontal="center" vertical="center" wrapText="1" readingOrder="1"/>
    </xf>
    <xf numFmtId="0" fontId="12" fillId="3" borderId="27" xfId="1" applyFont="1" applyFill="1" applyBorder="1" applyAlignment="1">
      <alignment horizontal="center" vertical="center" wrapText="1" readingOrder="1"/>
    </xf>
    <xf numFmtId="0" fontId="12" fillId="3" borderId="15" xfId="1" applyFont="1" applyFill="1" applyBorder="1" applyAlignment="1">
      <alignment horizontal="center" vertical="center" wrapText="1" readingOrder="1"/>
    </xf>
    <xf numFmtId="0" fontId="12" fillId="3" borderId="35" xfId="1" applyFont="1" applyFill="1" applyBorder="1" applyAlignment="1">
      <alignment horizontal="center" vertical="center" wrapText="1" readingOrder="1"/>
    </xf>
    <xf numFmtId="0" fontId="12" fillId="3" borderId="36" xfId="1" applyFont="1" applyFill="1" applyBorder="1" applyAlignment="1">
      <alignment horizontal="center" vertical="center" wrapText="1" readingOrder="1"/>
    </xf>
    <xf numFmtId="0" fontId="11" fillId="12" borderId="40" xfId="1" applyFont="1" applyFill="1" applyBorder="1" applyAlignment="1">
      <alignment horizontal="center" vertical="center"/>
    </xf>
    <xf numFmtId="0" fontId="11" fillId="12" borderId="41" xfId="1" applyFont="1" applyFill="1" applyBorder="1" applyAlignment="1">
      <alignment horizontal="center" vertical="center"/>
    </xf>
    <xf numFmtId="0" fontId="11" fillId="12" borderId="19" xfId="1" applyFont="1" applyFill="1" applyBorder="1" applyAlignment="1">
      <alignment horizontal="center" vertical="center"/>
    </xf>
    <xf numFmtId="0" fontId="11" fillId="12" borderId="20" xfId="1" applyFont="1" applyFill="1" applyBorder="1" applyAlignment="1">
      <alignment horizontal="center" vertical="center"/>
    </xf>
    <xf numFmtId="0" fontId="8" fillId="11" borderId="19" xfId="1" applyFont="1" applyFill="1" applyBorder="1" applyAlignment="1">
      <alignment horizontal="center" vertical="center"/>
    </xf>
    <xf numFmtId="0" fontId="8" fillId="11" borderId="20" xfId="1" applyFont="1" applyFill="1" applyBorder="1" applyAlignment="1">
      <alignment horizontal="center" vertical="center"/>
    </xf>
    <xf numFmtId="0" fontId="8" fillId="11" borderId="27" xfId="1" applyFont="1" applyFill="1" applyBorder="1" applyAlignment="1">
      <alignment horizontal="center" vertical="center"/>
    </xf>
    <xf numFmtId="0" fontId="8" fillId="11" borderId="0" xfId="1" applyFont="1" applyFill="1" applyAlignment="1">
      <alignment horizontal="center" vertical="center"/>
    </xf>
    <xf numFmtId="0" fontId="8" fillId="11" borderId="35" xfId="1" applyFont="1" applyFill="1" applyBorder="1" applyAlignment="1">
      <alignment horizontal="center" vertical="center"/>
    </xf>
    <xf numFmtId="0" fontId="8" fillId="11" borderId="37" xfId="1" applyFont="1" applyFill="1" applyBorder="1" applyAlignment="1">
      <alignment horizontal="center" vertical="center"/>
    </xf>
    <xf numFmtId="0" fontId="4" fillId="5" borderId="19" xfId="1" applyFont="1" applyFill="1" applyBorder="1" applyAlignment="1">
      <alignment horizontal="center" vertical="center"/>
    </xf>
    <xf numFmtId="0" fontId="4" fillId="5" borderId="20" xfId="1" applyFont="1" applyFill="1" applyBorder="1" applyAlignment="1">
      <alignment horizontal="center" vertical="center"/>
    </xf>
    <xf numFmtId="0" fontId="4" fillId="5" borderId="27" xfId="1" applyFont="1" applyFill="1" applyBorder="1" applyAlignment="1">
      <alignment horizontal="center" vertical="center"/>
    </xf>
    <xf numFmtId="0" fontId="8" fillId="11" borderId="32" xfId="1" applyFont="1" applyFill="1" applyBorder="1" applyAlignment="1">
      <alignment horizontal="center" vertical="center"/>
    </xf>
    <xf numFmtId="0" fontId="8" fillId="11" borderId="15" xfId="1" applyFont="1" applyFill="1" applyBorder="1" applyAlignment="1">
      <alignment horizontal="center" vertical="center"/>
    </xf>
    <xf numFmtId="0" fontId="8" fillId="11" borderId="36" xfId="1" applyFont="1" applyFill="1" applyBorder="1" applyAlignment="1">
      <alignment horizontal="center" vertical="center"/>
    </xf>
    <xf numFmtId="1" fontId="9" fillId="11" borderId="19" xfId="1" applyNumberFormat="1" applyFont="1" applyFill="1" applyBorder="1" applyAlignment="1">
      <alignment horizontal="center" vertical="center"/>
    </xf>
    <xf numFmtId="1" fontId="9" fillId="11" borderId="32" xfId="1" applyNumberFormat="1" applyFont="1" applyFill="1" applyBorder="1" applyAlignment="1">
      <alignment horizontal="center" vertical="center"/>
    </xf>
    <xf numFmtId="1" fontId="9" fillId="11" borderId="27" xfId="1" applyNumberFormat="1" applyFont="1" applyFill="1" applyBorder="1" applyAlignment="1">
      <alignment horizontal="center" vertical="center"/>
    </xf>
    <xf numFmtId="1" fontId="9" fillId="11" borderId="15" xfId="1" applyNumberFormat="1" applyFont="1" applyFill="1" applyBorder="1" applyAlignment="1">
      <alignment horizontal="center" vertical="center"/>
    </xf>
    <xf numFmtId="1" fontId="9" fillId="11" borderId="35" xfId="1" applyNumberFormat="1" applyFont="1" applyFill="1" applyBorder="1" applyAlignment="1">
      <alignment horizontal="center" vertical="center"/>
    </xf>
    <xf numFmtId="1" fontId="9" fillId="11" borderId="36" xfId="1" applyNumberFormat="1" applyFont="1" applyFill="1" applyBorder="1" applyAlignment="1">
      <alignment horizontal="center" vertical="center"/>
    </xf>
    <xf numFmtId="0" fontId="5" fillId="6" borderId="24" xfId="1" applyFont="1" applyFill="1" applyBorder="1" applyAlignment="1">
      <alignment horizontal="center" vertical="center"/>
    </xf>
    <xf numFmtId="0" fontId="5" fillId="6" borderId="25" xfId="1" applyFont="1" applyFill="1" applyBorder="1" applyAlignment="1">
      <alignment horizontal="center" vertical="center"/>
    </xf>
    <xf numFmtId="0" fontId="5" fillId="6" borderId="26" xfId="1" applyFont="1" applyFill="1" applyBorder="1" applyAlignment="1">
      <alignment horizontal="center" vertical="center"/>
    </xf>
    <xf numFmtId="0" fontId="5" fillId="7" borderId="24" xfId="1" applyFont="1" applyFill="1" applyBorder="1" applyAlignment="1">
      <alignment horizontal="center" vertical="center"/>
    </xf>
    <xf numFmtId="0" fontId="5" fillId="7" borderId="25" xfId="1" applyFont="1" applyFill="1" applyBorder="1" applyAlignment="1">
      <alignment horizontal="center" vertical="center"/>
    </xf>
    <xf numFmtId="0" fontId="5" fillId="7" borderId="26" xfId="1" applyFont="1" applyFill="1" applyBorder="1" applyAlignment="1">
      <alignment horizontal="center" vertical="center"/>
    </xf>
    <xf numFmtId="0" fontId="97" fillId="8" borderId="28" xfId="1" applyFont="1" applyFill="1" applyBorder="1" applyAlignment="1">
      <alignment horizontal="center"/>
    </xf>
    <xf numFmtId="0" fontId="97" fillId="8" borderId="25" xfId="1" applyFont="1" applyFill="1" applyBorder="1" applyAlignment="1">
      <alignment horizontal="center"/>
    </xf>
    <xf numFmtId="0" fontId="97" fillId="8" borderId="29" xfId="1" applyFont="1" applyFill="1" applyBorder="1" applyAlignment="1">
      <alignment horizontal="center"/>
    </xf>
    <xf numFmtId="0" fontId="37" fillId="16" borderId="0" xfId="2" applyFont="1" applyFill="1" applyAlignment="1">
      <alignment horizontal="center" vertical="top" textRotation="90"/>
    </xf>
    <xf numFmtId="0" fontId="2" fillId="16" borderId="0" xfId="2" applyFont="1" applyFill="1"/>
    <xf numFmtId="0" fontId="37" fillId="16" borderId="0" xfId="2" applyFont="1" applyFill="1" applyAlignment="1">
      <alignment horizontal="center" textRotation="90" wrapText="1"/>
    </xf>
    <xf numFmtId="0" fontId="37" fillId="16" borderId="0" xfId="2" applyFont="1" applyFill="1" applyAlignment="1">
      <alignment horizontal="center" vertical="center"/>
    </xf>
    <xf numFmtId="0" fontId="37" fillId="16" borderId="0" xfId="2" applyFont="1" applyFill="1" applyAlignment="1">
      <alignment horizontal="left" vertical="top" wrapText="1"/>
    </xf>
    <xf numFmtId="0" fontId="37" fillId="16" borderId="0" xfId="2" applyFont="1" applyFill="1" applyAlignment="1">
      <alignment horizontal="center" textRotation="90"/>
    </xf>
    <xf numFmtId="49" fontId="37" fillId="16" borderId="0" xfId="2" applyNumberFormat="1" applyFont="1" applyFill="1" applyAlignment="1">
      <alignment horizontal="center" vertical="center" wrapText="1"/>
    </xf>
    <xf numFmtId="0" fontId="38" fillId="16" borderId="0" xfId="2" applyFont="1" applyFill="1" applyAlignment="1">
      <alignment horizontal="center" vertical="center" wrapText="1"/>
    </xf>
    <xf numFmtId="0" fontId="37" fillId="16" borderId="0" xfId="2" applyFont="1" applyFill="1" applyAlignment="1">
      <alignment horizontal="center" vertical="top" wrapText="1"/>
    </xf>
    <xf numFmtId="0" fontId="2" fillId="16" borderId="0" xfId="2" applyFont="1" applyFill="1" applyAlignment="1">
      <alignment horizontal="center" vertical="top" wrapText="1"/>
    </xf>
    <xf numFmtId="0" fontId="37" fillId="16" borderId="0" xfId="2" applyFont="1" applyFill="1"/>
    <xf numFmtId="0" fontId="59" fillId="16" borderId="8" xfId="2" applyFont="1" applyFill="1" applyBorder="1" applyAlignment="1">
      <alignment horizontal="center"/>
    </xf>
    <xf numFmtId="0" fontId="37" fillId="0" borderId="0" xfId="2" applyFont="1" applyAlignment="1">
      <alignment horizontal="left" vertical="top" wrapText="1"/>
    </xf>
    <xf numFmtId="0" fontId="37" fillId="0" borderId="0" xfId="2" applyFont="1" applyAlignment="1">
      <alignment horizontal="center" vertical="top" textRotation="90"/>
    </xf>
    <xf numFmtId="0" fontId="37" fillId="0" borderId="0" xfId="2" applyFont="1" applyAlignment="1">
      <alignment horizontal="center" textRotation="90"/>
    </xf>
    <xf numFmtId="0" fontId="2" fillId="0" borderId="0" xfId="2" applyFont="1"/>
    <xf numFmtId="0" fontId="37" fillId="0" borderId="0" xfId="2" applyFont="1" applyAlignment="1">
      <alignment horizontal="center" textRotation="90" wrapText="1"/>
    </xf>
    <xf numFmtId="0" fontId="37" fillId="0" borderId="0" xfId="2" applyFont="1" applyAlignment="1">
      <alignment horizontal="center" vertical="center"/>
    </xf>
    <xf numFmtId="49" fontId="37" fillId="0" borderId="0" xfId="2" applyNumberFormat="1" applyFont="1" applyAlignment="1">
      <alignment horizontal="center" vertical="center" wrapText="1"/>
    </xf>
    <xf numFmtId="0" fontId="38" fillId="0" borderId="0" xfId="2" applyFont="1" applyAlignment="1">
      <alignment horizontal="center" vertical="center" wrapText="1"/>
    </xf>
    <xf numFmtId="0" fontId="37" fillId="0" borderId="0" xfId="2" applyFont="1" applyAlignment="1">
      <alignment horizontal="center" vertical="top" wrapText="1"/>
    </xf>
    <xf numFmtId="0" fontId="2" fillId="0" borderId="0" xfId="2" applyFont="1" applyAlignment="1">
      <alignment horizontal="center" vertical="top" wrapText="1"/>
    </xf>
    <xf numFmtId="0" fontId="37" fillId="0" borderId="0" xfId="2" applyFont="1"/>
    <xf numFmtId="0" fontId="91" fillId="76" borderId="137" xfId="46" applyFont="1" applyFill="1" applyBorder="1" applyAlignment="1">
      <alignment horizontal="center"/>
    </xf>
    <xf numFmtId="0" fontId="89" fillId="0" borderId="136" xfId="46" applyFont="1" applyBorder="1" applyAlignment="1">
      <alignment horizontal="center"/>
    </xf>
    <xf numFmtId="0" fontId="89" fillId="0" borderId="135" xfId="46" applyFont="1" applyBorder="1" applyAlignment="1">
      <alignment horizontal="center"/>
    </xf>
    <xf numFmtId="0" fontId="46" fillId="22" borderId="9" xfId="1" applyFont="1" applyFill="1" applyBorder="1" applyAlignment="1">
      <alignment horizontal="center"/>
    </xf>
    <xf numFmtId="0" fontId="46" fillId="22" borderId="8" xfId="1" applyFont="1" applyFill="1" applyBorder="1" applyAlignment="1">
      <alignment horizontal="center"/>
    </xf>
    <xf numFmtId="0" fontId="46" fillId="22" borderId="13" xfId="1" applyFont="1" applyFill="1" applyBorder="1" applyAlignment="1">
      <alignment horizontal="center"/>
    </xf>
    <xf numFmtId="0" fontId="46" fillId="22" borderId="0" xfId="1" applyFont="1" applyFill="1" applyAlignment="1">
      <alignment horizontal="center"/>
    </xf>
  </cellXfs>
  <cellStyles count="49">
    <cellStyle name="20% - Accent1" xfId="23" builtinId="30" customBuiltin="1"/>
    <cellStyle name="20% - Accent2" xfId="27" builtinId="34" customBuiltin="1"/>
    <cellStyle name="20% - Accent3" xfId="31" builtinId="38" customBuiltin="1"/>
    <cellStyle name="20% - Accent4" xfId="35" builtinId="42" customBuiltin="1"/>
    <cellStyle name="20% - Accent5" xfId="39" builtinId="46" customBuiltin="1"/>
    <cellStyle name="20% - Accent6" xfId="43" builtinId="50" customBuiltin="1"/>
    <cellStyle name="40% - Accent1" xfId="24" builtinId="31" customBuiltin="1"/>
    <cellStyle name="40% - Accent2" xfId="28" builtinId="35" customBuiltin="1"/>
    <cellStyle name="40% - Accent3" xfId="32" builtinId="39" customBuiltin="1"/>
    <cellStyle name="40% - Accent4" xfId="36" builtinId="43" customBuiltin="1"/>
    <cellStyle name="40% - Accent5" xfId="40" builtinId="47" customBuiltin="1"/>
    <cellStyle name="40% - Accent6" xfId="44" builtinId="51" customBuiltin="1"/>
    <cellStyle name="60% - Accent1" xfId="25" builtinId="32" customBuiltin="1"/>
    <cellStyle name="60% - Accent2" xfId="29" builtinId="36" customBuiltin="1"/>
    <cellStyle name="60% - Accent3" xfId="33" builtinId="40" customBuiltin="1"/>
    <cellStyle name="60% - Accent4" xfId="37" builtinId="44" customBuiltin="1"/>
    <cellStyle name="60% - Accent5" xfId="41" builtinId="48" customBuiltin="1"/>
    <cellStyle name="60% - Accent6" xfId="45" builtinId="52" customBuiltin="1"/>
    <cellStyle name="Accent1" xfId="22" builtinId="29" customBuiltin="1"/>
    <cellStyle name="Accent2" xfId="26" builtinId="33" customBuiltin="1"/>
    <cellStyle name="Accent3" xfId="30" builtinId="37" customBuiltin="1"/>
    <cellStyle name="Accent4" xfId="34" builtinId="41" customBuiltin="1"/>
    <cellStyle name="Accent5" xfId="38" builtinId="45" customBuiltin="1"/>
    <cellStyle name="Accent6" xfId="42" builtinId="49" customBuiltin="1"/>
    <cellStyle name="Bad" xfId="11" builtinId="27" customBuiltin="1"/>
    <cellStyle name="Calculation" xfId="15" builtinId="22" customBuiltin="1"/>
    <cellStyle name="Check Cell" xfId="17" builtinId="23" customBuiltin="1"/>
    <cellStyle name="Comma 2" xfId="48" xr:uid="{DA3B99A4-2F68-47B2-9BE9-AC61E234F864}"/>
    <cellStyle name="Explanatory Text" xfId="20" builtinId="53" customBuiltin="1"/>
    <cellStyle name="Good" xfId="10" builtinId="26" customBuiltin="1"/>
    <cellStyle name="Heading 1" xfId="6" builtinId="16" customBuiltin="1"/>
    <cellStyle name="Heading 2" xfId="7" builtinId="17" customBuiltin="1"/>
    <cellStyle name="Heading 3" xfId="8" builtinId="18" customBuiltin="1"/>
    <cellStyle name="Heading 4" xfId="9" builtinId="19" customBuiltin="1"/>
    <cellStyle name="Input" xfId="13" builtinId="20" customBuiltin="1"/>
    <cellStyle name="Linked Cell" xfId="16" builtinId="24" customBuiltin="1"/>
    <cellStyle name="Neutral" xfId="12" builtinId="28" customBuiltin="1"/>
    <cellStyle name="Normal" xfId="0" builtinId="0"/>
    <cellStyle name="Normal 10" xfId="1" xr:uid="{638E72C6-5E56-4776-805C-D8DA45AD62F9}"/>
    <cellStyle name="Normal 2" xfId="46" xr:uid="{001F7ACE-EAAE-456B-B666-B34C45ECD5F7}"/>
    <cellStyle name="Normal 3 9 2" xfId="2" xr:uid="{AAD9A679-279C-4A85-8023-62AB751EA3D2}"/>
    <cellStyle name="Note" xfId="19" builtinId="10" customBuiltin="1"/>
    <cellStyle name="Output" xfId="14" builtinId="21" customBuiltin="1"/>
    <cellStyle name="Percent" xfId="4" builtinId="5"/>
    <cellStyle name="Percent 2" xfId="47" xr:uid="{DF166717-5DAC-444A-93A0-079C247AB8F0}"/>
    <cellStyle name="Percent 3 10" xfId="3" xr:uid="{C13A4A22-D6D9-434D-9A11-9F02B3BDB456}"/>
    <cellStyle name="Title" xfId="5" builtinId="15" customBuiltin="1"/>
    <cellStyle name="Total" xfId="21" builtinId="25" customBuiltin="1"/>
    <cellStyle name="Warning Text" xfId="18" builtinId="11" customBuiltin="1"/>
  </cellStyles>
  <dxfs count="9">
    <dxf>
      <font>
        <color rgb="FF9C0006"/>
      </font>
      <fill>
        <patternFill>
          <bgColor rgb="FFFFC7CE"/>
        </patternFill>
      </fill>
    </dxf>
    <dxf>
      <font>
        <color rgb="FF9C0006"/>
      </font>
      <fill>
        <patternFill>
          <bgColor rgb="FFFFC7CE"/>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ill>
        <patternFill>
          <bgColor rgb="FFFF0000"/>
        </patternFill>
      </fill>
    </dxf>
    <dxf>
      <fill>
        <patternFill>
          <bgColor rgb="FFFF0000"/>
        </patternFill>
      </fill>
    </dxf>
    <dxf>
      <font>
        <color theme="0"/>
      </font>
      <numFmt numFmtId="0" formatCode="General"/>
      <fill>
        <patternFill>
          <bgColor rgb="FFFF0000"/>
        </patternFill>
      </fill>
    </dxf>
    <dxf>
      <fill>
        <patternFill>
          <bgColor rgb="FFFF0000"/>
        </patternFill>
      </fill>
    </dxf>
  </dxfs>
  <tableStyles count="0" defaultTableStyle="TableStyleMedium2"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7.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8.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9.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0.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7.xml"/><Relationship Id="rId1" Type="http://schemas.microsoft.com/office/2011/relationships/chartStyle" Target="style7.xml"/></Relationships>
</file>

<file path=xl/charts/_rels/chart1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5.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6.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3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3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3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3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3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3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37.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9.xml"/><Relationship Id="rId1" Type="http://schemas.microsoft.com/office/2011/relationships/chartStyle" Target="style19.xml"/></Relationships>
</file>

<file path=xl/charts/_rels/chart3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3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40.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41.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42.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43.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44.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45.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46.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49.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_rels/chart50.xml.rels><?xml version="1.0" encoding="UTF-8" standalone="yes"?>
<Relationships xmlns="http://schemas.openxmlformats.org/package/2006/relationships"><Relationship Id="rId1" Type="http://schemas.openxmlformats.org/officeDocument/2006/relationships/themeOverride" Target="../theme/themeOverride3.xml"/></Relationships>
</file>

<file path=xl/charts/_rels/chart52.xml.rels><?xml version="1.0" encoding="UTF-8" standalone="yes"?>
<Relationships xmlns="http://schemas.openxmlformats.org/package/2006/relationships"><Relationship Id="rId1" Type="http://schemas.openxmlformats.org/officeDocument/2006/relationships/themeOverride" Target="../theme/themeOverride4.xml"/></Relationships>
</file>

<file path=xl/charts/_rels/chart54.xml.rels><?xml version="1.0" encoding="UTF-8" standalone="yes"?>
<Relationships xmlns="http://schemas.openxmlformats.org/package/2006/relationships"><Relationship Id="rId1" Type="http://schemas.openxmlformats.org/officeDocument/2006/relationships/themeOverride" Target="../theme/themeOverride5.xml"/></Relationships>
</file>

<file path=xl/charts/_rels/chart55.xml.rels><?xml version="1.0" encoding="UTF-8" standalone="yes"?>
<Relationships xmlns="http://schemas.openxmlformats.org/package/2006/relationships"><Relationship Id="rId1" Type="http://schemas.openxmlformats.org/officeDocument/2006/relationships/themeOverride" Target="../theme/themeOverride6.xml"/></Relationships>
</file>

<file path=xl/charts/_rels/chart56.xml.rels><?xml version="1.0" encoding="UTF-8" standalone="yes"?>
<Relationships xmlns="http://schemas.openxmlformats.org/package/2006/relationships"><Relationship Id="rId1" Type="http://schemas.openxmlformats.org/officeDocument/2006/relationships/themeOverride" Target="../theme/themeOverride7.xml"/></Relationships>
</file>

<file path=xl/charts/_rels/chart57.xml.rels><?xml version="1.0" encoding="UTF-8" standalone="yes"?>
<Relationships xmlns="http://schemas.openxmlformats.org/package/2006/relationships"><Relationship Id="rId1" Type="http://schemas.openxmlformats.org/officeDocument/2006/relationships/themeOverride" Target="../theme/themeOverride8.xml"/></Relationships>
</file>

<file path=xl/charts/_rels/chart58.xml.rels><?xml version="1.0" encoding="UTF-8" standalone="yes"?>
<Relationships xmlns="http://schemas.openxmlformats.org/package/2006/relationships"><Relationship Id="rId1" Type="http://schemas.openxmlformats.org/officeDocument/2006/relationships/themeOverride" Target="../theme/themeOverride9.xml"/></Relationships>
</file>

<file path=xl/charts/_rels/chart59.xml.rels><?xml version="1.0" encoding="UTF-8" standalone="yes"?>
<Relationships xmlns="http://schemas.openxmlformats.org/package/2006/relationships"><Relationship Id="rId1" Type="http://schemas.openxmlformats.org/officeDocument/2006/relationships/themeOverride" Target="../theme/themeOverride10.xml"/></Relationships>
</file>

<file path=xl/charts/_rels/chart63.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74.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75.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76.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77.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78.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79.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80.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81.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82.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83.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 LCY TRIR Experience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'TRIR EXP.'!$G$18</c:f>
              <c:strCache>
                <c:ptCount val="1"/>
                <c:pt idx="0">
                  <c:v>LCY TRIR</c:v>
                </c:pt>
              </c:strCache>
            </c:strRef>
          </c:tx>
          <c:spPr>
            <a:ln w="28575" cap="rnd">
              <a:solidFill>
                <a:srgbClr val="C000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numRef>
              <c:f>'TRIR EXP.'!$H$7:$M$7</c:f>
              <c:numCache>
                <c:formatCode>General</c:formatCode>
                <c:ptCount val="6"/>
                <c:pt idx="0">
                  <c:v>2021</c:v>
                </c:pt>
                <c:pt idx="1">
                  <c:v>2022</c:v>
                </c:pt>
                <c:pt idx="2">
                  <c:v>2023</c:v>
                </c:pt>
                <c:pt idx="3">
                  <c:v>2024</c:v>
                </c:pt>
                <c:pt idx="4">
                  <c:v>2025</c:v>
                </c:pt>
                <c:pt idx="5">
                  <c:v>2026</c:v>
                </c:pt>
              </c:numCache>
            </c:numRef>
          </c:cat>
          <c:val>
            <c:numRef>
              <c:f>'TRIR EXP.'!$H$18:$M$18</c:f>
              <c:numCache>
                <c:formatCode>0.00</c:formatCode>
                <c:ptCount val="6"/>
                <c:pt idx="0">
                  <c:v>1.1599999999999999</c:v>
                </c:pt>
                <c:pt idx="1">
                  <c:v>3.4</c:v>
                </c:pt>
                <c:pt idx="2">
                  <c:v>1.19</c:v>
                </c:pt>
                <c:pt idx="3">
                  <c:v>1.1399999999999999</c:v>
                </c:pt>
                <c:pt idx="4">
                  <c:v>0</c:v>
                </c:pt>
                <c:pt idx="5">
                  <c:v>1.3774673884595783</c:v>
                </c:pt>
              </c:numCache>
            </c:numRef>
          </c:val>
          <c:smooth val="0"/>
          <c:extLst>
            <c:ext xmlns:c16="http://schemas.microsoft.com/office/drawing/2014/chart" uri="{C3380CC4-5D6E-409C-BE32-E72D297353CC}">
              <c16:uniqueId val="{00000001-B944-4950-8E43-0B9331259C05}"/>
            </c:ext>
          </c:extLst>
        </c:ser>
        <c:ser>
          <c:idx val="1"/>
          <c:order val="1"/>
          <c:tx>
            <c:strRef>
              <c:f>'TRIR EXP.'!$G$19</c:f>
              <c:strCache>
                <c:ptCount val="1"/>
                <c:pt idx="0">
                  <c:v>Bureau of labor Statistics industry avg.</c:v>
                </c:pt>
              </c:strCache>
            </c:strRef>
          </c:tx>
          <c:spPr>
            <a:ln w="28575" cap="rnd">
              <a:solidFill>
                <a:schemeClr val="bg1">
                  <a:lumMod val="65000"/>
                </a:schemeClr>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2-B944-4950-8E43-0B9331259C05}"/>
                </c:ext>
              </c:extLst>
            </c:dLbl>
            <c:dLbl>
              <c:idx val="1"/>
              <c:delete val="1"/>
              <c:extLst>
                <c:ext xmlns:c15="http://schemas.microsoft.com/office/drawing/2012/chart" uri="{CE6537A1-D6FC-4f65-9D91-7224C49458BB}"/>
                <c:ext xmlns:c16="http://schemas.microsoft.com/office/drawing/2014/chart" uri="{C3380CC4-5D6E-409C-BE32-E72D297353CC}">
                  <c16:uniqueId val="{00000003-B944-4950-8E43-0B9331259C05}"/>
                </c:ext>
              </c:extLst>
            </c:dLbl>
            <c:dLbl>
              <c:idx val="2"/>
              <c:delete val="1"/>
              <c:extLst>
                <c:ext xmlns:c15="http://schemas.microsoft.com/office/drawing/2012/chart" uri="{CE6537A1-D6FC-4f65-9D91-7224C49458BB}"/>
                <c:ext xmlns:c16="http://schemas.microsoft.com/office/drawing/2014/chart" uri="{C3380CC4-5D6E-409C-BE32-E72D297353CC}">
                  <c16:uniqueId val="{00000004-B944-4950-8E43-0B9331259C05}"/>
                </c:ext>
              </c:extLst>
            </c:dLbl>
            <c:dLbl>
              <c:idx val="3"/>
              <c:delete val="1"/>
              <c:extLst>
                <c:ext xmlns:c15="http://schemas.microsoft.com/office/drawing/2012/chart" uri="{CE6537A1-D6FC-4f65-9D91-7224C49458BB}"/>
                <c:ext xmlns:c16="http://schemas.microsoft.com/office/drawing/2014/chart" uri="{C3380CC4-5D6E-409C-BE32-E72D297353CC}">
                  <c16:uniqueId val="{00000005-B944-4950-8E43-0B9331259C05}"/>
                </c:ext>
              </c:extLst>
            </c:dLbl>
            <c:dLbl>
              <c:idx val="4"/>
              <c:layout>
                <c:manualLayout>
                  <c:x val="0.14982069995259711"/>
                  <c:y val="0"/>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944-4950-8E43-0B9331259C05}"/>
                </c:ext>
              </c:extLst>
            </c:dLbl>
            <c:dLbl>
              <c:idx val="5"/>
              <c:delete val="1"/>
              <c:extLst>
                <c:ext xmlns:c15="http://schemas.microsoft.com/office/drawing/2012/chart" uri="{CE6537A1-D6FC-4f65-9D91-7224C49458BB}"/>
                <c:ext xmlns:c16="http://schemas.microsoft.com/office/drawing/2014/chart" uri="{C3380CC4-5D6E-409C-BE32-E72D297353CC}">
                  <c16:uniqueId val="{00000007-B944-4950-8E43-0B9331259C05}"/>
                </c:ext>
              </c:extLst>
            </c:dLbl>
            <c:spPr>
              <a:solidFill>
                <a:schemeClr val="tx1"/>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'TRIR EXP.'!$H$7:$M$7</c:f>
              <c:numCache>
                <c:formatCode>General</c:formatCode>
                <c:ptCount val="6"/>
                <c:pt idx="0">
                  <c:v>2021</c:v>
                </c:pt>
                <c:pt idx="1">
                  <c:v>2022</c:v>
                </c:pt>
                <c:pt idx="2">
                  <c:v>2023</c:v>
                </c:pt>
                <c:pt idx="3">
                  <c:v>2024</c:v>
                </c:pt>
                <c:pt idx="4">
                  <c:v>2025</c:v>
                </c:pt>
                <c:pt idx="5">
                  <c:v>2026</c:v>
                </c:pt>
              </c:numCache>
            </c:numRef>
          </c:cat>
          <c:val>
            <c:numRef>
              <c:f>'TRIR EXP.'!$H$19:$M$19</c:f>
              <c:numCache>
                <c:formatCode>General</c:formatCode>
                <c:ptCount val="6"/>
                <c:pt idx="0">
                  <c:v>2.7</c:v>
                </c:pt>
                <c:pt idx="1">
                  <c:v>1.9</c:v>
                </c:pt>
                <c:pt idx="2">
                  <c:v>1.9</c:v>
                </c:pt>
                <c:pt idx="3">
                  <c:v>1.9</c:v>
                </c:pt>
                <c:pt idx="4">
                  <c:v>1.9</c:v>
                </c:pt>
                <c:pt idx="5">
                  <c:v>1.9</c:v>
                </c:pt>
              </c:numCache>
            </c:numRef>
          </c:val>
          <c:smooth val="0"/>
          <c:extLst>
            <c:ext xmlns:c16="http://schemas.microsoft.com/office/drawing/2014/chart" uri="{C3380CC4-5D6E-409C-BE32-E72D297353CC}">
              <c16:uniqueId val="{00000008-B944-4950-8E43-0B9331259C05}"/>
            </c:ext>
          </c:extLst>
        </c:ser>
        <c:dLbls>
          <c:showLegendKey val="0"/>
          <c:showVal val="0"/>
          <c:showCatName val="0"/>
          <c:showSerName val="0"/>
          <c:showPercent val="0"/>
          <c:showBubbleSize val="0"/>
        </c:dLbls>
        <c:marker val="1"/>
        <c:smooth val="0"/>
        <c:axId val="1176933679"/>
        <c:axId val="1176924943"/>
      </c:lineChart>
      <c:lineChart>
        <c:grouping val="standard"/>
        <c:varyColors val="0"/>
        <c:ser>
          <c:idx val="2"/>
          <c:order val="2"/>
          <c:tx>
            <c:strRef>
              <c:f>'TRIR EXP.'!$G$15</c:f>
              <c:strCache>
                <c:ptCount val="1"/>
                <c:pt idx="0">
                  <c:v>Man Hours</c:v>
                </c:pt>
              </c:strCache>
            </c:strRef>
          </c:tx>
          <c:spPr>
            <a:ln w="28575" cap="rnd">
              <a:solidFill>
                <a:srgbClr val="FFFF00"/>
              </a:solidFill>
              <a:round/>
            </a:ln>
            <a:effectLst/>
          </c:spPr>
          <c:marker>
            <c:symbol val="none"/>
          </c:marker>
          <c:cat>
            <c:numRef>
              <c:f>'TRIR EXP.'!$H$7:$M$7</c:f>
              <c:numCache>
                <c:formatCode>General</c:formatCode>
                <c:ptCount val="6"/>
                <c:pt idx="0">
                  <c:v>2021</c:v>
                </c:pt>
                <c:pt idx="1">
                  <c:v>2022</c:v>
                </c:pt>
                <c:pt idx="2">
                  <c:v>2023</c:v>
                </c:pt>
                <c:pt idx="3">
                  <c:v>2024</c:v>
                </c:pt>
                <c:pt idx="4">
                  <c:v>2025</c:v>
                </c:pt>
                <c:pt idx="5">
                  <c:v>2026</c:v>
                </c:pt>
              </c:numCache>
            </c:numRef>
          </c:cat>
          <c:val>
            <c:numRef>
              <c:f>'TRIR EXP.'!$H$15:$M$15</c:f>
              <c:numCache>
                <c:formatCode>#,##0</c:formatCode>
                <c:ptCount val="6"/>
                <c:pt idx="0">
                  <c:v>172301</c:v>
                </c:pt>
                <c:pt idx="1">
                  <c:v>176350</c:v>
                </c:pt>
                <c:pt idx="2">
                  <c:v>168563</c:v>
                </c:pt>
                <c:pt idx="3">
                  <c:v>174706</c:v>
                </c:pt>
                <c:pt idx="4">
                  <c:v>191751</c:v>
                </c:pt>
                <c:pt idx="5">
                  <c:v>145194</c:v>
                </c:pt>
              </c:numCache>
            </c:numRef>
          </c:val>
          <c:smooth val="0"/>
          <c:extLst>
            <c:ext xmlns:c16="http://schemas.microsoft.com/office/drawing/2014/chart" uri="{C3380CC4-5D6E-409C-BE32-E72D297353CC}">
              <c16:uniqueId val="{00000009-B944-4950-8E43-0B9331259C05}"/>
            </c:ext>
          </c:extLst>
        </c:ser>
        <c:dLbls>
          <c:showLegendKey val="0"/>
          <c:showVal val="0"/>
          <c:showCatName val="0"/>
          <c:showSerName val="0"/>
          <c:showPercent val="0"/>
          <c:showBubbleSize val="0"/>
        </c:dLbls>
        <c:marker val="1"/>
        <c:smooth val="0"/>
        <c:axId val="1501151119"/>
        <c:axId val="1497089295"/>
      </c:lineChart>
      <c:catAx>
        <c:axId val="117693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924943"/>
        <c:crosses val="autoZero"/>
        <c:auto val="1"/>
        <c:lblAlgn val="ctr"/>
        <c:lblOffset val="100"/>
        <c:noMultiLvlLbl val="0"/>
      </c:catAx>
      <c:valAx>
        <c:axId val="117692494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933679"/>
        <c:crosses val="autoZero"/>
        <c:crossBetween val="between"/>
      </c:valAx>
      <c:valAx>
        <c:axId val="1497089295"/>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151119"/>
        <c:crosses val="max"/>
        <c:crossBetween val="between"/>
      </c:valAx>
      <c:catAx>
        <c:axId val="1501151119"/>
        <c:scaling>
          <c:orientation val="minMax"/>
        </c:scaling>
        <c:delete val="1"/>
        <c:axPos val="b"/>
        <c:numFmt formatCode="General" sourceLinked="1"/>
        <c:majorTickMark val="out"/>
        <c:minorTickMark val="none"/>
        <c:tickLblPos val="nextTo"/>
        <c:crossAx val="149708929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a:t>Incident Type Analysis</a:t>
            </a:r>
          </a:p>
          <a:p>
            <a:pPr>
              <a:defRPr/>
            </a:pPr>
            <a:r>
              <a:rPr lang="en-US"/>
              <a:t> YTD</a:t>
            </a:r>
          </a:p>
        </c:rich>
      </c:tx>
      <c:layout>
        <c:manualLayout>
          <c:xMode val="edge"/>
          <c:yMode val="edge"/>
          <c:x val="0.41568318773223328"/>
          <c:y val="0.31858794393620771"/>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4.9010721330928812E-2"/>
          <c:y val="0"/>
          <c:w val="0.31241722435654457"/>
          <c:h val="1"/>
        </c:manualLayout>
      </c:layout>
      <c:pieChart>
        <c:varyColors val="1"/>
        <c:ser>
          <c:idx val="0"/>
          <c:order val="0"/>
          <c:tx>
            <c:strRef>
              <c:f>'Incident Data'!$A$11:$A$25</c:f>
              <c:strCache>
                <c:ptCount val="15"/>
                <c:pt idx="0">
                  <c:v>First Aid</c:v>
                </c:pt>
                <c:pt idx="1">
                  <c:v>Recordable Injury</c:v>
                </c:pt>
                <c:pt idx="2">
                  <c:v>Lost time injury </c:v>
                </c:pt>
                <c:pt idx="3">
                  <c:v>Recordable </c:v>
                </c:pt>
                <c:pt idx="4">
                  <c:v>Restricted</c:v>
                </c:pt>
                <c:pt idx="5">
                  <c:v>Occupational Ilness</c:v>
                </c:pt>
                <c:pt idx="6">
                  <c:v>Spill/  Release</c:v>
                </c:pt>
                <c:pt idx="7">
                  <c:v>Fire</c:v>
                </c:pt>
                <c:pt idx="8">
                  <c:v>Hazardous Condition </c:v>
                </c:pt>
                <c:pt idx="9">
                  <c:v>Powered Industrial Vehicle Accident</c:v>
                </c:pt>
                <c:pt idx="10">
                  <c:v>Property Damage</c:v>
                </c:pt>
                <c:pt idx="11">
                  <c:v>Equipment Damage</c:v>
                </c:pt>
                <c:pt idx="12">
                  <c:v>Non-Work-Related</c:v>
                </c:pt>
                <c:pt idx="13">
                  <c:v>Regulatory </c:v>
                </c:pt>
                <c:pt idx="14">
                  <c:v>PSIF</c:v>
                </c:pt>
              </c:strCache>
            </c:strRef>
          </c:tx>
          <c:explosion val="19"/>
          <c:dPt>
            <c:idx val="0"/>
            <c:bubble3D val="0"/>
            <c:spPr>
              <a:solidFill>
                <a:schemeClr val="accent1"/>
              </a:solidFill>
              <a:ln w="19050">
                <a:solidFill>
                  <a:schemeClr val="lt1"/>
                </a:solidFill>
              </a:ln>
              <a:effectLst/>
            </c:spPr>
            <c:extLst>
              <c:ext xmlns:c16="http://schemas.microsoft.com/office/drawing/2014/chart" uri="{C3380CC4-5D6E-409C-BE32-E72D297353CC}">
                <c16:uniqueId val="{0000000D-8D1D-44E6-9ECE-9DCE0F1D5E1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3-8D1D-44E6-9ECE-9DCE0F1D5E1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443-4388-BEEF-33418EB8ACC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7-14C4-426E-8B88-94B7223BFEC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7-3BE8-43D7-8E09-FAD40379D92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9-81CF-4F52-BAB4-018AB643729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A-0F7D-4FB5-A2A6-2BED4189C1B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D-3BE8-43D7-8E09-FAD40379D927}"/>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extLst>
          </c:dLbls>
          <c:cat>
            <c:strRef>
              <c:extLst>
                <c:ext xmlns:c15="http://schemas.microsoft.com/office/drawing/2012/chart" uri="{02D57815-91ED-43cb-92C2-25804820EDAC}">
                  <c15:fullRef>
                    <c15:sqref>'Incident Data'!$A$11:$A$25</c15:sqref>
                  </c15:fullRef>
                </c:ext>
              </c:extLst>
              <c:f>('Incident Data'!$A$11,'Incident Data'!$A$17:$A$19,'Incident Data'!$A$21:$A$23,'Incident Data'!$A$25)</c:f>
              <c:strCache>
                <c:ptCount val="8"/>
                <c:pt idx="0">
                  <c:v>First Aid</c:v>
                </c:pt>
                <c:pt idx="1">
                  <c:v>Spill/  Release</c:v>
                </c:pt>
                <c:pt idx="2">
                  <c:v>Fire</c:v>
                </c:pt>
                <c:pt idx="3">
                  <c:v>Hazardous Condition </c:v>
                </c:pt>
                <c:pt idx="4">
                  <c:v>Property Damage</c:v>
                </c:pt>
                <c:pt idx="5">
                  <c:v>Equipment Damage</c:v>
                </c:pt>
                <c:pt idx="6">
                  <c:v>Non-Work-Related</c:v>
                </c:pt>
                <c:pt idx="7">
                  <c:v>PSIF</c:v>
                </c:pt>
              </c:strCache>
            </c:strRef>
          </c:cat>
          <c:val>
            <c:numRef>
              <c:extLst>
                <c:ext xmlns:c15="http://schemas.microsoft.com/office/drawing/2012/chart" uri="{02D57815-91ED-43cb-92C2-25804820EDAC}">
                  <c15:fullRef>
                    <c15:sqref>'Incident Data'!$N$11:$N$25</c15:sqref>
                  </c15:fullRef>
                </c:ext>
              </c:extLst>
              <c:f>('Incident Data'!$N$11,'Incident Data'!$N$17:$N$19,'Incident Data'!$N$21:$N$23,'Incident Data'!$N$25)</c:f>
              <c:numCache>
                <c:formatCode>General</c:formatCode>
                <c:ptCount val="8"/>
                <c:pt idx="0">
                  <c:v>5</c:v>
                </c:pt>
                <c:pt idx="1">
                  <c:v>14</c:v>
                </c:pt>
                <c:pt idx="2">
                  <c:v>1</c:v>
                </c:pt>
                <c:pt idx="3">
                  <c:v>4</c:v>
                </c:pt>
                <c:pt idx="4">
                  <c:v>6</c:v>
                </c:pt>
                <c:pt idx="5">
                  <c:v>8</c:v>
                </c:pt>
                <c:pt idx="6">
                  <c:v>4</c:v>
                </c:pt>
                <c:pt idx="7">
                  <c:v>5</c:v>
                </c:pt>
              </c:numCache>
            </c:numRef>
          </c:val>
          <c:extLst>
            <c:ext xmlns:c15="http://schemas.microsoft.com/office/drawing/2012/chart" uri="{02D57815-91ED-43cb-92C2-25804820EDAC}">
              <c15:categoryFilterExceptions>
                <c15:categoryFilterException>
                  <c15:sqref>'Incident Data'!$N$24</c15:sqref>
                  <c15:spPr xmlns:c15="http://schemas.microsoft.com/office/drawing/2012/chart">
                    <a:solidFill>
                      <a:schemeClr val="accent2">
                        <a:lumMod val="80000"/>
                        <a:lumOff val="20000"/>
                      </a:schemeClr>
                    </a:solidFill>
                    <a:ln w="19050">
                      <a:solidFill>
                        <a:schemeClr val="lt1"/>
                      </a:solidFill>
                    </a:ln>
                    <a:effectLst/>
                  </c15:spPr>
                  <c15:bubble3D val="0"/>
                </c15:categoryFilterException>
              </c15:categoryFilterExceptions>
            </c:ext>
            <c:ext xmlns:c16="http://schemas.microsoft.com/office/drawing/2014/chart" uri="{C3380CC4-5D6E-409C-BE32-E72D297353CC}">
              <c16:uniqueId val="{00000006-25EA-403E-9B85-146671CEA8B7}"/>
            </c:ext>
          </c:extLst>
        </c:ser>
        <c:dLbls>
          <c:dLblPos val="inEnd"/>
          <c:showLegendKey val="0"/>
          <c:showVal val="0"/>
          <c:showCatName val="0"/>
          <c:showSerName val="0"/>
          <c:showPercent val="1"/>
          <c:showBubbleSize val="0"/>
          <c:showLeaderLines val="0"/>
        </c:dLbls>
        <c:firstSliceAng val="0"/>
      </c:pieChart>
      <c:spPr>
        <a:noFill/>
        <a:ln>
          <a:noFill/>
        </a:ln>
        <a:effectLst/>
      </c:spPr>
    </c:plotArea>
    <c:legend>
      <c:legendPos val="r"/>
      <c:legendEntry>
        <c:idx val="0"/>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Entry>
      <c:legendEntry>
        <c:idx val="1"/>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Entry>
      <c:legendEntry>
        <c:idx val="2"/>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Entry>
      <c:layout>
        <c:manualLayout>
          <c:xMode val="edge"/>
          <c:yMode val="edge"/>
          <c:x val="0.71450045349368718"/>
          <c:y val="0.18113616471470845"/>
          <c:w val="0.17646187464891874"/>
          <c:h val="0.6657060690320391"/>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1">
          <a:solidFill>
            <a:sysClr val="windowText" lastClr="000000"/>
          </a:solidFill>
        </a:defRPr>
      </a:pPr>
      <a:endParaRPr lang="en-US"/>
    </a:p>
  </c:txPr>
  <c:printSettings>
    <c:headerFooter/>
    <c:pageMargins b="0.75000000000000133" l="0.70000000000000062" r="0.70000000000000062" t="0.75000000000000133"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30630887114667438"/>
          <c:y val="0"/>
        </c:manualLayout>
      </c:layout>
      <c:overlay val="0"/>
    </c:title>
    <c:autoTitleDeleted val="0"/>
    <c:plotArea>
      <c:layout>
        <c:manualLayout>
          <c:layoutTarget val="inner"/>
          <c:xMode val="edge"/>
          <c:yMode val="edge"/>
          <c:x val="9.3734607014611157E-2"/>
          <c:y val="3.7971222965186922E-2"/>
          <c:w val="0.85310822351855198"/>
          <c:h val="0.57060113508979593"/>
        </c:manualLayout>
      </c:layout>
      <c:barChart>
        <c:barDir val="col"/>
        <c:grouping val="clustered"/>
        <c:varyColors val="0"/>
        <c:ser>
          <c:idx val="0"/>
          <c:order val="0"/>
          <c:tx>
            <c:strRef>
              <c:f>'Incident Data'!$AH$35</c:f>
              <c:strCache>
                <c:ptCount val="1"/>
                <c:pt idx="0">
                  <c:v>Body Part Involved</c:v>
                </c:pt>
              </c:strCache>
            </c:strRef>
          </c:tx>
          <c:invertIfNegative val="0"/>
          <c:dPt>
            <c:idx val="0"/>
            <c:invertIfNegative val="0"/>
            <c:bubble3D val="0"/>
            <c:spPr>
              <a:solidFill>
                <a:schemeClr val="accent4">
                  <a:lumMod val="40000"/>
                  <a:lumOff val="60000"/>
                </a:schemeClr>
              </a:solidFill>
            </c:spPr>
            <c:extLst>
              <c:ext xmlns:c16="http://schemas.microsoft.com/office/drawing/2014/chart" uri="{C3380CC4-5D6E-409C-BE32-E72D297353CC}">
                <c16:uniqueId val="{00000013-AEC6-41C7-9D65-4E1218C530C3}"/>
              </c:ext>
            </c:extLst>
          </c:dPt>
          <c:dPt>
            <c:idx val="1"/>
            <c:invertIfNegative val="0"/>
            <c:bubble3D val="0"/>
            <c:spPr>
              <a:solidFill>
                <a:srgbClr val="00B0F0"/>
              </a:solidFill>
            </c:spPr>
            <c:extLst>
              <c:ext xmlns:c16="http://schemas.microsoft.com/office/drawing/2014/chart" uri="{C3380CC4-5D6E-409C-BE32-E72D297353CC}">
                <c16:uniqueId val="{00000017-93F8-4BE1-A580-D696B28BB47C}"/>
              </c:ext>
            </c:extLst>
          </c:dPt>
          <c:cat>
            <c:strRef>
              <c:extLst>
                <c:ext xmlns:c15="http://schemas.microsoft.com/office/drawing/2012/chart" uri="{02D57815-91ED-43cb-92C2-25804820EDAC}">
                  <c15:fullRef>
                    <c15:sqref>'Incident Data'!$AH$37:$AH$63</c15:sqref>
                  </c15:fullRef>
                </c:ext>
              </c:extLst>
              <c:f>('Incident Data'!$AH$45,'Incident Data'!$AH$48,'Incident Data'!$AH$54)</c:f>
              <c:strCache>
                <c:ptCount val="3"/>
                <c:pt idx="0">
                  <c:v>Eye</c:v>
                </c:pt>
                <c:pt idx="1">
                  <c:v>Fingers</c:v>
                </c:pt>
                <c:pt idx="2">
                  <c:v>Leg</c:v>
                </c:pt>
              </c:strCache>
            </c:strRef>
          </c:cat>
          <c:val>
            <c:numRef>
              <c:extLst>
                <c:ext xmlns:c15="http://schemas.microsoft.com/office/drawing/2012/chart" uri="{02D57815-91ED-43cb-92C2-25804820EDAC}">
                  <c15:fullRef>
                    <c15:sqref>'Incident Data'!$AV$37:$AV$63</c15:sqref>
                  </c15:fullRef>
                </c:ext>
              </c:extLst>
              <c:f>('Incident Data'!$AV$45,'Incident Data'!$AV$48,'Incident Data'!$AV$54)</c:f>
              <c:numCache>
                <c:formatCode>General</c:formatCode>
                <c:ptCount val="3"/>
                <c:pt idx="0">
                  <c:v>1</c:v>
                </c:pt>
                <c:pt idx="1">
                  <c:v>4</c:v>
                </c:pt>
                <c:pt idx="2">
                  <c:v>1</c:v>
                </c:pt>
              </c:numCache>
            </c:numRef>
          </c:val>
          <c:extLst>
            <c:ext xmlns:c15="http://schemas.microsoft.com/office/drawing/2012/chart" uri="{02D57815-91ED-43cb-92C2-25804820EDAC}">
              <c15:categoryFilterExceptions>
                <c15:categoryFilterException>
                  <c15:sqref>'Incident Data'!$AV$37</c15:sqref>
                  <c15:spPr xmlns:c15="http://schemas.microsoft.com/office/drawing/2012/chart">
                    <a:solidFill>
                      <a:schemeClr val="accent1">
                        <a:lumMod val="50000"/>
                      </a:schemeClr>
                    </a:solidFill>
                  </c15:spPr>
                  <c15:invertIfNegative val="0"/>
                  <c15:bubble3D val="0"/>
                </c15:categoryFilterException>
                <c15:categoryFilterException>
                  <c15:sqref>'Incident Data'!$AV$38</c15:sqref>
                  <c15:spPr xmlns:c15="http://schemas.microsoft.com/office/drawing/2012/chart">
                    <a:solidFill>
                      <a:schemeClr val="accent1">
                        <a:lumMod val="75000"/>
                      </a:schemeClr>
                    </a:solidFill>
                  </c15:spPr>
                  <c15:invertIfNegative val="0"/>
                  <c15:bubble3D val="0"/>
                </c15:categoryFilterException>
                <c15:categoryFilterException>
                  <c15:sqref>'Incident Data'!$AV$39</c15:sqref>
                  <c15:spPr xmlns:c15="http://schemas.microsoft.com/office/drawing/2012/chart">
                    <a:solidFill>
                      <a:schemeClr val="accent1">
                        <a:lumMod val="60000"/>
                        <a:lumOff val="40000"/>
                      </a:schemeClr>
                    </a:solidFill>
                  </c15:spPr>
                  <c15:invertIfNegative val="0"/>
                  <c15:bubble3D val="0"/>
                </c15:categoryFilterException>
                <c15:categoryFilterException>
                  <c15:sqref>'Incident Data'!$AV$40</c15:sqref>
                  <c15:spPr xmlns:c15="http://schemas.microsoft.com/office/drawing/2012/chart">
                    <a:solidFill>
                      <a:schemeClr val="accent2">
                        <a:lumMod val="75000"/>
                      </a:schemeClr>
                    </a:solidFill>
                  </c15:spPr>
                  <c15:invertIfNegative val="0"/>
                  <c15:bubble3D val="0"/>
                </c15:categoryFilterException>
                <c15:categoryFilterException>
                  <c15:sqref>'Incident Data'!$AV$41</c15:sqref>
                  <c15:spPr xmlns:c15="http://schemas.microsoft.com/office/drawing/2012/chart">
                    <a:solidFill>
                      <a:schemeClr val="accent2">
                        <a:lumMod val="60000"/>
                        <a:lumOff val="40000"/>
                      </a:schemeClr>
                    </a:solidFill>
                  </c15:spPr>
                  <c15:invertIfNegative val="0"/>
                  <c15:bubble3D val="0"/>
                </c15:categoryFilterException>
                <c15:categoryFilterException>
                  <c15:sqref>'Incident Data'!$AV$42</c15:sqref>
                  <c15:spPr xmlns:c15="http://schemas.microsoft.com/office/drawing/2012/chart">
                    <a:solidFill>
                      <a:schemeClr val="accent3">
                        <a:lumMod val="75000"/>
                      </a:schemeClr>
                    </a:solidFill>
                  </c15:spPr>
                  <c15:invertIfNegative val="0"/>
                  <c15:bubble3D val="0"/>
                </c15:categoryFilterException>
                <c15:categoryFilterException>
                  <c15:sqref>'Incident Data'!$AV$43</c15:sqref>
                  <c15:spPr xmlns:c15="http://schemas.microsoft.com/office/drawing/2012/chart">
                    <a:solidFill>
                      <a:srgbClr val="92D050"/>
                    </a:solidFill>
                  </c15:spPr>
                  <c15:invertIfNegative val="0"/>
                  <c15:bubble3D val="0"/>
                </c15:categoryFilterException>
                <c15:categoryFilterException>
                  <c15:sqref>'Incident Data'!$AV$44</c15:sqref>
                  <c15:spPr xmlns:c15="http://schemas.microsoft.com/office/drawing/2012/chart">
                    <a:solidFill>
                      <a:schemeClr val="accent4">
                        <a:lumMod val="60000"/>
                        <a:lumOff val="40000"/>
                      </a:schemeClr>
                    </a:solidFill>
                  </c15:spPr>
                  <c15:invertIfNegative val="0"/>
                  <c15:bubble3D val="0"/>
                </c15:categoryFilterException>
                <c15:categoryFilterException>
                  <c15:sqref>'Incident Data'!$AV$46</c15:sqref>
                  <c15:spPr xmlns:c15="http://schemas.microsoft.com/office/drawing/2012/chart">
                    <a:solidFill>
                      <a:schemeClr val="accent6">
                        <a:lumMod val="60000"/>
                        <a:lumOff val="40000"/>
                      </a:schemeClr>
                    </a:solidFill>
                  </c15:spPr>
                  <c15:invertIfNegative val="0"/>
                  <c15:bubble3D val="0"/>
                </c15:categoryFilterException>
                <c15:categoryFilterException>
                  <c15:sqref>'Incident Data'!$AV$47</c15:sqref>
                  <c15:spPr xmlns:c15="http://schemas.microsoft.com/office/drawing/2012/chart">
                    <a:solidFill>
                      <a:schemeClr val="accent6">
                        <a:lumMod val="40000"/>
                        <a:lumOff val="60000"/>
                      </a:schemeClr>
                    </a:solidFill>
                  </c15:spPr>
                  <c15:invertIfNegative val="0"/>
                  <c15:bubble3D val="0"/>
                </c15:categoryFilterException>
              </c15:categoryFilterExceptions>
            </c:ext>
            <c:ext xmlns:c16="http://schemas.microsoft.com/office/drawing/2014/chart" uri="{C3380CC4-5D6E-409C-BE32-E72D297353CC}">
              <c16:uniqueId val="{0000001E-EC6C-45DB-B20B-DB5653FBDAB5}"/>
            </c:ext>
          </c:extLst>
        </c:ser>
        <c:dLbls>
          <c:showLegendKey val="0"/>
          <c:showVal val="0"/>
          <c:showCatName val="0"/>
          <c:showSerName val="0"/>
          <c:showPercent val="0"/>
          <c:showBubbleSize val="0"/>
        </c:dLbls>
        <c:gapWidth val="100"/>
        <c:axId val="592475256"/>
        <c:axId val="592475648"/>
      </c:barChart>
      <c:catAx>
        <c:axId val="592475256"/>
        <c:scaling>
          <c:orientation val="minMax"/>
        </c:scaling>
        <c:delete val="0"/>
        <c:axPos val="b"/>
        <c:numFmt formatCode="General" sourceLinked="0"/>
        <c:majorTickMark val="out"/>
        <c:minorTickMark val="none"/>
        <c:tickLblPos val="nextTo"/>
        <c:txPr>
          <a:bodyPr rot="-3120000"/>
          <a:lstStyle/>
          <a:p>
            <a:pPr>
              <a:defRPr sz="1400" b="1"/>
            </a:pPr>
            <a:endParaRPr lang="en-US"/>
          </a:p>
        </c:txPr>
        <c:crossAx val="592475648"/>
        <c:crosses val="autoZero"/>
        <c:auto val="1"/>
        <c:lblAlgn val="ctr"/>
        <c:lblOffset val="100"/>
        <c:noMultiLvlLbl val="0"/>
      </c:catAx>
      <c:valAx>
        <c:axId val="592475648"/>
        <c:scaling>
          <c:orientation val="minMax"/>
        </c:scaling>
        <c:delete val="0"/>
        <c:axPos val="l"/>
        <c:majorGridlines>
          <c:spPr>
            <a:ln>
              <a:noFill/>
            </a:ln>
          </c:spPr>
        </c:majorGridlines>
        <c:numFmt formatCode="General" sourceLinked="1"/>
        <c:majorTickMark val="out"/>
        <c:minorTickMark val="none"/>
        <c:tickLblPos val="nextTo"/>
        <c:crossAx val="592475256"/>
        <c:crosses val="autoZero"/>
        <c:crossBetween val="between"/>
      </c:valAx>
      <c:spPr>
        <a:solidFill>
          <a:schemeClr val="bg1">
            <a:lumMod val="85000"/>
          </a:schemeClr>
        </a:solidFill>
      </c:spPr>
    </c:plotArea>
    <c:plotVisOnly val="1"/>
    <c:dispBlanksAs val="gap"/>
    <c:showDLblsOverMax val="0"/>
  </c:chart>
  <c:spPr>
    <a:noFill/>
    <a:ln>
      <a:noFill/>
    </a:ln>
  </c:spPr>
  <c:printSettings>
    <c:headerFooter/>
    <c:pageMargins b="0.75000000000000133" l="0.70000000000000062" r="0.70000000000000062" t="0.75000000000000133"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baseline="0"/>
              <a:t>Incidents vs. Near Miss Observations vs. PSIF Events</a:t>
            </a:r>
            <a:endParaRPr lang="en-US"/>
          </a:p>
        </c:rich>
      </c:tx>
      <c:layout>
        <c:manualLayout>
          <c:xMode val="edge"/>
          <c:yMode val="edge"/>
          <c:x val="0.24804363056790238"/>
          <c:y val="0"/>
        </c:manualLayout>
      </c:layout>
      <c:overlay val="1"/>
    </c:title>
    <c:autoTitleDeleted val="0"/>
    <c:plotArea>
      <c:layout>
        <c:manualLayout>
          <c:layoutTarget val="inner"/>
          <c:xMode val="edge"/>
          <c:yMode val="edge"/>
          <c:x val="0.11147251941427591"/>
          <c:y val="0.14887416571657944"/>
          <c:w val="0.86664714597271364"/>
          <c:h val="0.56540384808223065"/>
        </c:manualLayout>
      </c:layout>
      <c:barChart>
        <c:barDir val="col"/>
        <c:grouping val="clustered"/>
        <c:varyColors val="0"/>
        <c:ser>
          <c:idx val="0"/>
          <c:order val="0"/>
          <c:tx>
            <c:v>Incidents</c:v>
          </c:tx>
          <c:spPr>
            <a:solidFill>
              <a:schemeClr val="accent2"/>
            </a:solidFill>
            <a:ln>
              <a:solidFill>
                <a:srgbClr val="FFC000"/>
              </a:solidFill>
            </a:ln>
          </c:spPr>
          <c:invertIfNegative val="0"/>
          <c:dLbls>
            <c:spPr>
              <a:noFill/>
              <a:ln>
                <a:noFill/>
              </a:ln>
              <a:effectLst/>
            </c:spPr>
            <c:txPr>
              <a:bodyPr lIns="38100" tIns="19050" rIns="38100" bIns="19050">
                <a:spAutoFit/>
              </a:bodyPr>
              <a:lstStyle/>
              <a:p>
                <a:pPr>
                  <a:defRPr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extLst>
                <c:ext xmlns:c15="http://schemas.microsoft.com/office/drawing/2012/chart" uri="{02D57815-91ED-43cb-92C2-25804820EDAC}">
                  <c15:fullRef>
                    <c15:sqref>'Incident Data'!$B$5:$M$5</c15:sqref>
                  </c15:fullRef>
                </c:ext>
              </c:extLst>
              <c:f>'Incident Data'!$B$5:$I$5</c:f>
              <c:strCache>
                <c:ptCount val="8"/>
                <c:pt idx="0">
                  <c:v>Jan</c:v>
                </c:pt>
                <c:pt idx="1">
                  <c:v>Feb</c:v>
                </c:pt>
                <c:pt idx="2">
                  <c:v>Mar</c:v>
                </c:pt>
                <c:pt idx="3">
                  <c:v>Apr</c:v>
                </c:pt>
                <c:pt idx="4">
                  <c:v>May</c:v>
                </c:pt>
                <c:pt idx="5">
                  <c:v>Jun</c:v>
                </c:pt>
                <c:pt idx="6">
                  <c:v>Jul</c:v>
                </c:pt>
                <c:pt idx="7">
                  <c:v>Aug</c:v>
                </c:pt>
              </c:strCache>
            </c:strRef>
          </c:cat>
          <c:val>
            <c:numRef>
              <c:extLst>
                <c:ext xmlns:c15="http://schemas.microsoft.com/office/drawing/2012/chart" uri="{02D57815-91ED-43cb-92C2-25804820EDAC}">
                  <c15:fullRef>
                    <c15:sqref>'Incident Data'!$B$7:$M$7</c15:sqref>
                  </c15:fullRef>
                </c:ext>
              </c:extLst>
              <c:f>'Incident Data'!$B$7:$I$7</c:f>
              <c:numCache>
                <c:formatCode>General</c:formatCode>
                <c:ptCount val="8"/>
                <c:pt idx="0">
                  <c:v>5</c:v>
                </c:pt>
                <c:pt idx="1">
                  <c:v>6</c:v>
                </c:pt>
                <c:pt idx="2">
                  <c:v>5</c:v>
                </c:pt>
                <c:pt idx="3">
                  <c:v>6</c:v>
                </c:pt>
                <c:pt idx="4">
                  <c:v>2</c:v>
                </c:pt>
                <c:pt idx="5">
                  <c:v>4</c:v>
                </c:pt>
                <c:pt idx="6">
                  <c:v>5</c:v>
                </c:pt>
                <c:pt idx="7">
                  <c:v>3</c:v>
                </c:pt>
              </c:numCache>
            </c:numRef>
          </c:val>
          <c:extLst>
            <c:ext xmlns:c16="http://schemas.microsoft.com/office/drawing/2014/chart" uri="{C3380CC4-5D6E-409C-BE32-E72D297353CC}">
              <c16:uniqueId val="{00000003-62DF-49D3-8E12-504E6418954B}"/>
            </c:ext>
          </c:extLst>
        </c:ser>
        <c:ser>
          <c:idx val="1"/>
          <c:order val="1"/>
          <c:tx>
            <c:v> Near Miss</c:v>
          </c:tx>
          <c:spPr>
            <a:solidFill>
              <a:schemeClr val="bg2">
                <a:lumMod val="75000"/>
              </a:schemeClr>
            </a:solidFill>
            <a:ln>
              <a:solidFill>
                <a:schemeClr val="bg2">
                  <a:lumMod val="75000"/>
                </a:schemeClr>
              </a:solidFill>
            </a:ln>
          </c:spPr>
          <c:invertIfNegative val="0"/>
          <c:dLbls>
            <c:dLbl>
              <c:idx val="1"/>
              <c:delete val="1"/>
              <c:extLst>
                <c:ext xmlns:c15="http://schemas.microsoft.com/office/drawing/2012/chart" uri="{CE6537A1-D6FC-4f65-9D91-7224C49458BB}"/>
                <c:ext xmlns:c16="http://schemas.microsoft.com/office/drawing/2014/chart" uri="{C3380CC4-5D6E-409C-BE32-E72D297353CC}">
                  <c16:uniqueId val="{00000000-B436-414E-8178-5DE26CC81EE3}"/>
                </c:ext>
              </c:extLst>
            </c:dLbl>
            <c:dLbl>
              <c:idx val="2"/>
              <c:delete val="1"/>
              <c:extLst>
                <c:ext xmlns:c15="http://schemas.microsoft.com/office/drawing/2012/chart" uri="{CE6537A1-D6FC-4f65-9D91-7224C49458BB}"/>
                <c:ext xmlns:c16="http://schemas.microsoft.com/office/drawing/2014/chart" uri="{C3380CC4-5D6E-409C-BE32-E72D297353CC}">
                  <c16:uniqueId val="{00000000-5D5A-4633-AF2B-32A6BF7FC751}"/>
                </c:ext>
              </c:extLst>
            </c:dLbl>
            <c:spPr>
              <a:noFill/>
              <a:ln>
                <a:noFill/>
              </a:ln>
              <a:effectLst/>
            </c:spPr>
            <c:txPr>
              <a:bodyPr wrap="square" lIns="38100" tIns="19050" rIns="38100" bIns="19050" anchor="ctr">
                <a:spAutoFit/>
              </a:bodyPr>
              <a:lstStyle/>
              <a:p>
                <a:pPr>
                  <a:defRPr b="1"/>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extLst>
                <c:ext xmlns:c15="http://schemas.microsoft.com/office/drawing/2012/chart" uri="{02D57815-91ED-43cb-92C2-25804820EDAC}">
                  <c15:fullRef>
                    <c15:sqref>'Incident Data'!$B$5:$M$5</c15:sqref>
                  </c15:fullRef>
                </c:ext>
              </c:extLst>
              <c:f>'Incident Data'!$B$5:$I$5</c:f>
              <c:strCache>
                <c:ptCount val="8"/>
                <c:pt idx="0">
                  <c:v>Jan</c:v>
                </c:pt>
                <c:pt idx="1">
                  <c:v>Feb</c:v>
                </c:pt>
                <c:pt idx="2">
                  <c:v>Mar</c:v>
                </c:pt>
                <c:pt idx="3">
                  <c:v>Apr</c:v>
                </c:pt>
                <c:pt idx="4">
                  <c:v>May</c:v>
                </c:pt>
                <c:pt idx="5">
                  <c:v>Jun</c:v>
                </c:pt>
                <c:pt idx="6">
                  <c:v>Jul</c:v>
                </c:pt>
                <c:pt idx="7">
                  <c:v>Aug</c:v>
                </c:pt>
              </c:strCache>
            </c:strRef>
          </c:cat>
          <c:val>
            <c:numRef>
              <c:extLst>
                <c:ext xmlns:c15="http://schemas.microsoft.com/office/drawing/2012/chart" uri="{02D57815-91ED-43cb-92C2-25804820EDAC}">
                  <c15:fullRef>
                    <c15:sqref>'Incident Data'!$B$6:$M$6</c15:sqref>
                  </c15:fullRef>
                </c:ext>
              </c:extLst>
              <c:f>'Incident Data'!$B$6:$I$6</c:f>
              <c:numCache>
                <c:formatCode>General</c:formatCode>
                <c:ptCount val="8"/>
                <c:pt idx="0">
                  <c:v>3</c:v>
                </c:pt>
                <c:pt idx="1">
                  <c:v>0</c:v>
                </c:pt>
                <c:pt idx="2">
                  <c:v>0</c:v>
                </c:pt>
                <c:pt idx="3">
                  <c:v>11</c:v>
                </c:pt>
                <c:pt idx="4">
                  <c:v>2</c:v>
                </c:pt>
                <c:pt idx="5">
                  <c:v>4</c:v>
                </c:pt>
                <c:pt idx="6">
                  <c:v>4</c:v>
                </c:pt>
                <c:pt idx="7">
                  <c:v>5</c:v>
                </c:pt>
              </c:numCache>
            </c:numRef>
          </c:val>
          <c:extLst>
            <c:ext xmlns:c16="http://schemas.microsoft.com/office/drawing/2014/chart" uri="{C3380CC4-5D6E-409C-BE32-E72D297353CC}">
              <c16:uniqueId val="{00000000-62DF-49D3-8E12-504E6418954B}"/>
            </c:ext>
          </c:extLst>
        </c:ser>
        <c:ser>
          <c:idx val="2"/>
          <c:order val="2"/>
          <c:tx>
            <c:strRef>
              <c:f>'Incident Data'!$A$25</c:f>
              <c:strCache>
                <c:ptCount val="1"/>
                <c:pt idx="0">
                  <c:v>PSIF</c:v>
                </c:pt>
              </c:strCache>
            </c:strRef>
          </c:tx>
          <c:spPr>
            <a:solidFill>
              <a:srgbClr val="C00000"/>
            </a:solidFill>
            <a:ln>
              <a:solidFill>
                <a:srgbClr val="C00000"/>
              </a:solidFill>
            </a:ln>
          </c:spPr>
          <c:invertIfNegative val="0"/>
          <c:dLbls>
            <c:dLbl>
              <c:idx val="1"/>
              <c:delete val="1"/>
              <c:extLst>
                <c:ext xmlns:c15="http://schemas.microsoft.com/office/drawing/2012/chart" uri="{CE6537A1-D6FC-4f65-9D91-7224C49458BB}"/>
                <c:ext xmlns:c16="http://schemas.microsoft.com/office/drawing/2014/chart" uri="{C3380CC4-5D6E-409C-BE32-E72D297353CC}">
                  <c16:uniqueId val="{00000001-B436-414E-8178-5DE26CC81EE3}"/>
                </c:ext>
              </c:extLst>
            </c:dLbl>
            <c:dLbl>
              <c:idx val="2"/>
              <c:delete val="1"/>
              <c:extLst>
                <c:ext xmlns:c15="http://schemas.microsoft.com/office/drawing/2012/chart" uri="{CE6537A1-D6FC-4f65-9D91-7224C49458BB}"/>
                <c:ext xmlns:c16="http://schemas.microsoft.com/office/drawing/2014/chart" uri="{C3380CC4-5D6E-409C-BE32-E72D297353CC}">
                  <c16:uniqueId val="{00000001-5D5A-4633-AF2B-32A6BF7FC751}"/>
                </c:ext>
              </c:extLst>
            </c:dLbl>
            <c:spPr>
              <a:noFill/>
              <a:ln>
                <a:noFill/>
              </a:ln>
              <a:effectLst/>
            </c:spPr>
            <c:txPr>
              <a:bodyPr wrap="square" lIns="38100" tIns="19050" rIns="38100" bIns="19050" anchor="ctr">
                <a:spAutoFit/>
              </a:bodyPr>
              <a:lstStyle/>
              <a:p>
                <a:pPr>
                  <a:defRPr b="1"/>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extLst>
                <c:ext xmlns:c15="http://schemas.microsoft.com/office/drawing/2012/chart" uri="{02D57815-91ED-43cb-92C2-25804820EDAC}">
                  <c15:fullRef>
                    <c15:sqref>'Incident Data'!$B$5:$M$5</c15:sqref>
                  </c15:fullRef>
                </c:ext>
              </c:extLst>
              <c:f>'Incident Data'!$B$5:$I$5</c:f>
              <c:strCache>
                <c:ptCount val="8"/>
                <c:pt idx="0">
                  <c:v>Jan</c:v>
                </c:pt>
                <c:pt idx="1">
                  <c:v>Feb</c:v>
                </c:pt>
                <c:pt idx="2">
                  <c:v>Mar</c:v>
                </c:pt>
                <c:pt idx="3">
                  <c:v>Apr</c:v>
                </c:pt>
                <c:pt idx="4">
                  <c:v>May</c:v>
                </c:pt>
                <c:pt idx="5">
                  <c:v>Jun</c:v>
                </c:pt>
                <c:pt idx="6">
                  <c:v>Jul</c:v>
                </c:pt>
                <c:pt idx="7">
                  <c:v>Aug</c:v>
                </c:pt>
              </c:strCache>
            </c:strRef>
          </c:cat>
          <c:val>
            <c:numRef>
              <c:extLst>
                <c:ext xmlns:c15="http://schemas.microsoft.com/office/drawing/2012/chart" uri="{02D57815-91ED-43cb-92C2-25804820EDAC}">
                  <c15:fullRef>
                    <c15:sqref>'Incident Data'!$B$25:$M$25</c15:sqref>
                  </c15:fullRef>
                </c:ext>
              </c:extLst>
              <c:f>'Incident Data'!$B$25:$I$25</c:f>
              <c:numCache>
                <c:formatCode>General</c:formatCode>
                <c:ptCount val="8"/>
                <c:pt idx="0">
                  <c:v>2</c:v>
                </c:pt>
                <c:pt idx="3">
                  <c:v>2</c:v>
                </c:pt>
                <c:pt idx="7">
                  <c:v>1</c:v>
                </c:pt>
              </c:numCache>
            </c:numRef>
          </c:val>
          <c:extLst>
            <c:ext xmlns:c16="http://schemas.microsoft.com/office/drawing/2014/chart" uri="{C3380CC4-5D6E-409C-BE32-E72D297353CC}">
              <c16:uniqueId val="{00000001-2DD3-491C-92E9-4625A4729DE4}"/>
            </c:ext>
          </c:extLst>
        </c:ser>
        <c:dLbls>
          <c:showLegendKey val="0"/>
          <c:showVal val="0"/>
          <c:showCatName val="0"/>
          <c:showSerName val="0"/>
          <c:showPercent val="0"/>
          <c:showBubbleSize val="0"/>
        </c:dLbls>
        <c:gapWidth val="150"/>
        <c:axId val="592476432"/>
        <c:axId val="362086104"/>
      </c:barChart>
      <c:catAx>
        <c:axId val="592476432"/>
        <c:scaling>
          <c:orientation val="minMax"/>
        </c:scaling>
        <c:delete val="0"/>
        <c:axPos val="b"/>
        <c:numFmt formatCode="General" sourceLinked="1"/>
        <c:majorTickMark val="out"/>
        <c:minorTickMark val="none"/>
        <c:tickLblPos val="nextTo"/>
        <c:crossAx val="362086104"/>
        <c:crosses val="autoZero"/>
        <c:auto val="1"/>
        <c:lblAlgn val="ctr"/>
        <c:lblOffset val="100"/>
        <c:noMultiLvlLbl val="1"/>
      </c:catAx>
      <c:valAx>
        <c:axId val="362086104"/>
        <c:scaling>
          <c:orientation val="minMax"/>
          <c:min val="0"/>
        </c:scaling>
        <c:delete val="0"/>
        <c:axPos val="l"/>
        <c:majorGridlines>
          <c:spPr>
            <a:ln>
              <a:noFill/>
            </a:ln>
          </c:spPr>
        </c:majorGridlines>
        <c:numFmt formatCode="#,##0.00" sourceLinked="0"/>
        <c:majorTickMark val="out"/>
        <c:minorTickMark val="none"/>
        <c:tickLblPos val="nextTo"/>
        <c:crossAx val="592476432"/>
        <c:crosses val="autoZero"/>
        <c:crossBetween val="between"/>
      </c:valAx>
      <c:spPr>
        <a:noFill/>
        <a:ln w="25400">
          <a:noFill/>
        </a:ln>
      </c:spPr>
    </c:plotArea>
    <c:legend>
      <c:legendPos val="b"/>
      <c:overlay val="0"/>
    </c:legend>
    <c:plotVisOnly val="1"/>
    <c:dispBlanksAs val="zero"/>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200" baseline="0"/>
              <a:t>Injury Cause Analysis </a:t>
            </a:r>
          </a:p>
          <a:p>
            <a:pPr>
              <a:defRPr/>
            </a:pPr>
            <a:r>
              <a:rPr lang="en-US" sz="1200" baseline="0"/>
              <a:t>YTD</a:t>
            </a:r>
          </a:p>
        </c:rich>
      </c:tx>
      <c:layout>
        <c:manualLayout>
          <c:xMode val="edge"/>
          <c:yMode val="edge"/>
          <c:x val="0.32821512692085736"/>
          <c:y val="2.7607468412385861E-2"/>
        </c:manualLayout>
      </c:layout>
      <c:overlay val="0"/>
    </c:title>
    <c:autoTitleDeleted val="0"/>
    <c:plotArea>
      <c:layout>
        <c:manualLayout>
          <c:layoutTarget val="inner"/>
          <c:xMode val="edge"/>
          <c:yMode val="edge"/>
          <c:x val="0.10318329610021135"/>
          <c:y val="0"/>
          <c:w val="0.29135323850953004"/>
          <c:h val="1"/>
        </c:manualLayout>
      </c:layout>
      <c:pieChart>
        <c:varyColors val="1"/>
        <c:ser>
          <c:idx val="0"/>
          <c:order val="0"/>
          <c:explosion val="21"/>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extLst>
                <c:ext xmlns:c15="http://schemas.microsoft.com/office/drawing/2012/chart" uri="{02D57815-91ED-43cb-92C2-25804820EDAC}">
                  <c15:fullRef>
                    <c15:sqref>'Incident Data'!$AH$9:$AH$24</c15:sqref>
                  </c15:fullRef>
                </c:ext>
              </c:extLst>
              <c:f>('Incident Data'!$AH$9:$AH$10,'Incident Data'!$AH$12:$AH$13,'Incident Data'!$AH$24)</c:f>
              <c:strCache>
                <c:ptCount val="5"/>
                <c:pt idx="0">
                  <c:v>Caught Between </c:v>
                </c:pt>
                <c:pt idx="1">
                  <c:v>Caught In</c:v>
                </c:pt>
                <c:pt idx="2">
                  <c:v>Contact By</c:v>
                </c:pt>
                <c:pt idx="3">
                  <c:v>Contact With</c:v>
                </c:pt>
                <c:pt idx="4">
                  <c:v>Struck By</c:v>
                </c:pt>
              </c:strCache>
            </c:strRef>
          </c:cat>
          <c:val>
            <c:numRef>
              <c:extLst>
                <c:ext xmlns:c15="http://schemas.microsoft.com/office/drawing/2012/chart" uri="{02D57815-91ED-43cb-92C2-25804820EDAC}">
                  <c15:fullRef>
                    <c15:sqref>'Incident Data'!$AV$9:$AV$24</c15:sqref>
                  </c15:fullRef>
                </c:ext>
              </c:extLst>
              <c:f>('Incident Data'!$AV$9:$AV$10,'Incident Data'!$AV$12:$AV$13,'Incident Data'!$AV$24)</c:f>
              <c:numCache>
                <c:formatCode>General</c:formatCode>
                <c:ptCount val="5"/>
                <c:pt idx="0">
                  <c:v>1</c:v>
                </c:pt>
                <c:pt idx="1">
                  <c:v>1</c:v>
                </c:pt>
                <c:pt idx="2">
                  <c:v>1</c:v>
                </c:pt>
                <c:pt idx="3">
                  <c:v>1</c:v>
                </c:pt>
                <c:pt idx="4">
                  <c:v>1</c:v>
                </c:pt>
              </c:numCache>
            </c:numRef>
          </c:val>
          <c:extLst>
            <c:ext xmlns:c15="http://schemas.microsoft.com/office/drawing/2012/chart" uri="{02D57815-91ED-43cb-92C2-25804820EDAC}">
              <c15:categoryFilterExceptions>
                <c15:categoryFilterException>
                  <c15:sqref>'Incident Data'!$AV$11</c15:sqref>
                  <c15:dLbl>
                    <c:idx val="1"/>
                    <c:delete val="1"/>
                    <c:extLst>
                      <c:ext uri="{CE6537A1-D6FC-4f65-9D91-7224C49458BB}"/>
                      <c:ext xmlns:c16="http://schemas.microsoft.com/office/drawing/2014/chart" uri="{C3380CC4-5D6E-409C-BE32-E72D297353CC}">
                        <c16:uniqueId val="{00000000-CF84-44F0-9A39-6DD5F3E7C101}"/>
                      </c:ext>
                    </c:extLst>
                  </c15:dLbl>
                </c15:categoryFilterException>
                <c15:categoryFilterException>
                  <c15:sqref>'Incident Data'!$AV$15</c15:sqref>
                  <c15:dLbl>
                    <c:idx val="3"/>
                    <c:delete val="1"/>
                    <c:extLst>
                      <c:ext uri="{CE6537A1-D6FC-4f65-9D91-7224C49458BB}"/>
                      <c:ext xmlns:c16="http://schemas.microsoft.com/office/drawing/2014/chart" uri="{C3380CC4-5D6E-409C-BE32-E72D297353CC}">
                        <c16:uniqueId val="{00000001-CF84-44F0-9A39-6DD5F3E7C101}"/>
                      </c:ext>
                    </c:extLst>
                  </c15:dLbl>
                </c15:categoryFilterException>
                <c15:categoryFilterException>
                  <c15:sqref>'Incident Data'!$AV$16</c15:sqref>
                  <c15:dLbl>
                    <c:idx val="3"/>
                    <c:delete val="1"/>
                    <c:extLst>
                      <c:ext uri="{CE6537A1-D6FC-4f65-9D91-7224C49458BB}"/>
                      <c:ext xmlns:c16="http://schemas.microsoft.com/office/drawing/2014/chart" uri="{C3380CC4-5D6E-409C-BE32-E72D297353CC}">
                        <c16:uniqueId val="{00000002-CF84-44F0-9A39-6DD5F3E7C101}"/>
                      </c:ext>
                    </c:extLst>
                  </c15:dLbl>
                </c15:categoryFilterException>
                <c15:categoryFilterException>
                  <c15:sqref>'Incident Data'!$AV$17</c15:sqref>
                  <c15:dLbl>
                    <c:idx val="3"/>
                    <c:delete val="1"/>
                    <c:extLst>
                      <c:ext uri="{CE6537A1-D6FC-4f65-9D91-7224C49458BB}"/>
                      <c:ext xmlns:c16="http://schemas.microsoft.com/office/drawing/2014/chart" uri="{C3380CC4-5D6E-409C-BE32-E72D297353CC}">
                        <c16:uniqueId val="{00000003-CF84-44F0-9A39-6DD5F3E7C101}"/>
                      </c:ext>
                    </c:extLst>
                  </c15:dLbl>
                </c15:categoryFilterException>
                <c15:categoryFilterException>
                  <c15:sqref>'Incident Data'!$AV$18</c15:sqref>
                  <c15:dLbl>
                    <c:idx val="3"/>
                    <c:delete val="1"/>
                    <c:extLst>
                      <c:ext uri="{CE6537A1-D6FC-4f65-9D91-7224C49458BB}"/>
                      <c:ext xmlns:c16="http://schemas.microsoft.com/office/drawing/2014/chart" uri="{C3380CC4-5D6E-409C-BE32-E72D297353CC}">
                        <c16:uniqueId val="{00000004-CF84-44F0-9A39-6DD5F3E7C101}"/>
                      </c:ext>
                    </c:extLst>
                  </c15:dLbl>
                </c15:categoryFilterException>
                <c15:categoryFilterException>
                  <c15:sqref>'Incident Data'!$AV$20</c15:sqref>
                  <c15:dLbl>
                    <c:idx val="3"/>
                    <c:delete val="1"/>
                    <c:extLst>
                      <c:ext uri="{CE6537A1-D6FC-4f65-9D91-7224C49458BB}"/>
                      <c:ext xmlns:c16="http://schemas.microsoft.com/office/drawing/2014/chart" uri="{C3380CC4-5D6E-409C-BE32-E72D297353CC}">
                        <c16:uniqueId val="{00000005-CF84-44F0-9A39-6DD5F3E7C101}"/>
                      </c:ext>
                    </c:extLst>
                  </c15:dLbl>
                </c15:categoryFilterException>
                <c15:categoryFilterException>
                  <c15:sqref>'Incident Data'!$AV$21</c15:sqref>
                  <c15:dLbl>
                    <c:idx val="3"/>
                    <c:delete val="1"/>
                    <c:extLst>
                      <c:ext uri="{CE6537A1-D6FC-4f65-9D91-7224C49458BB}"/>
                      <c:ext xmlns:c16="http://schemas.microsoft.com/office/drawing/2014/chart" uri="{C3380CC4-5D6E-409C-BE32-E72D297353CC}">
                        <c16:uniqueId val="{00000006-CF84-44F0-9A39-6DD5F3E7C101}"/>
                      </c:ext>
                    </c:extLst>
                  </c15:dLbl>
                </c15:categoryFilterException>
                <c15:categoryFilterException>
                  <c15:sqref>'Incident Data'!$AV$22</c15:sqref>
                  <c15:dLbl>
                    <c:idx val="3"/>
                    <c:delete val="1"/>
                    <c:extLst>
                      <c:ext uri="{CE6537A1-D6FC-4f65-9D91-7224C49458BB}"/>
                      <c:ext xmlns:c16="http://schemas.microsoft.com/office/drawing/2014/chart" uri="{C3380CC4-5D6E-409C-BE32-E72D297353CC}">
                        <c16:uniqueId val="{00000007-CF84-44F0-9A39-6DD5F3E7C101}"/>
                      </c:ext>
                    </c:extLst>
                  </c15:dLbl>
                </c15:categoryFilterException>
              </c15:categoryFilterExceptions>
            </c:ext>
            <c:ext xmlns:c16="http://schemas.microsoft.com/office/drawing/2014/chart" uri="{C3380CC4-5D6E-409C-BE32-E72D297353CC}">
              <c16:uniqueId val="{00000000-6A14-44D0-A55D-AFDAA2BBF7B9}"/>
            </c:ext>
          </c:extLst>
        </c:ser>
        <c:dLbls>
          <c:showLegendKey val="0"/>
          <c:showVal val="0"/>
          <c:showCatName val="0"/>
          <c:showSerName val="0"/>
          <c:showPercent val="0"/>
          <c:showBubbleSize val="0"/>
          <c:showLeaderLines val="1"/>
        </c:dLbls>
        <c:firstSliceAng val="0"/>
      </c:pieChart>
    </c:plotArea>
    <c:legend>
      <c:legendPos val="r"/>
      <c:layout>
        <c:manualLayout>
          <c:xMode val="edge"/>
          <c:yMode val="edge"/>
          <c:x val="0.49226807047149551"/>
          <c:y val="5.1201206232199696E-2"/>
          <c:w val="0.37207417672891901"/>
          <c:h val="0.87528061651867983"/>
        </c:manualLayout>
      </c:layout>
      <c:overlay val="0"/>
      <c:txPr>
        <a:bodyPr/>
        <a:lstStyle/>
        <a:p>
          <a:pPr rtl="0">
            <a:defRPr sz="1400" b="1"/>
          </a:pPr>
          <a:endParaRPr lang="en-US"/>
        </a:p>
      </c:txPr>
    </c:legend>
    <c:plotVisOnly val="1"/>
    <c:dispBlanksAs val="gap"/>
    <c:showDLblsOverMax val="0"/>
  </c:chart>
  <c:spPr>
    <a:noFill/>
    <a:ln>
      <a:noFill/>
    </a:ln>
  </c:spPr>
  <c:printSettings>
    <c:headerFooter/>
    <c:pageMargins b="0.75000000000000133" l="0.70000000000000062" r="0.70000000000000062" t="0.75000000000000133"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Site</a:t>
            </a:r>
            <a:r>
              <a:rPr lang="en-US" baseline="0"/>
              <a:t> Wide PSIF Frequency E+C</a:t>
            </a:r>
            <a:endParaRPr lang="en-US"/>
          </a:p>
        </c:rich>
      </c:tx>
      <c:layout>
        <c:manualLayout>
          <c:xMode val="edge"/>
          <c:yMode val="edge"/>
          <c:x val="0.27853904566637511"/>
          <c:y val="5.930206101193003E-2"/>
        </c:manualLayout>
      </c:layout>
      <c:overlay val="0"/>
    </c:title>
    <c:autoTitleDeleted val="0"/>
    <c:plotArea>
      <c:layout/>
      <c:barChart>
        <c:barDir val="col"/>
        <c:grouping val="clustered"/>
        <c:varyColors val="0"/>
        <c:ser>
          <c:idx val="1"/>
          <c:order val="0"/>
          <c:tx>
            <c:v>PSIF</c:v>
          </c:tx>
          <c:invertIfNegative val="0"/>
          <c:cat>
            <c:strRef>
              <c:f>'Incident Data'!$B$9:$M$9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'Incident Data'!$B$25:$M$25</c:f>
              <c:numCache>
                <c:formatCode>General</c:formatCode>
                <c:ptCount val="12"/>
                <c:pt idx="0">
                  <c:v>2</c:v>
                </c:pt>
                <c:pt idx="3">
                  <c:v>2</c:v>
                </c:pt>
                <c:pt idx="7">
                  <c:v>1</c:v>
                </c:pt>
              </c:numCache>
            </c:numRef>
          </c:val>
          <c:extLst>
            <c:ext xmlns:c16="http://schemas.microsoft.com/office/drawing/2014/chart" uri="{C3380CC4-5D6E-409C-BE32-E72D297353CC}">
              <c16:uniqueId val="{00000007-D981-40F3-885D-964BC2852C29}"/>
            </c:ext>
          </c:extLst>
        </c:ser>
        <c:dLbls>
          <c:showLegendKey val="0"/>
          <c:showVal val="0"/>
          <c:showCatName val="0"/>
          <c:showSerName val="0"/>
          <c:showPercent val="0"/>
          <c:showBubbleSize val="0"/>
        </c:dLbls>
        <c:gapWidth val="150"/>
        <c:axId val="628844608"/>
        <c:axId val="628845000"/>
      </c:barChart>
      <c:catAx>
        <c:axId val="628844608"/>
        <c:scaling>
          <c:orientation val="minMax"/>
        </c:scaling>
        <c:delete val="0"/>
        <c:axPos val="b"/>
        <c:numFmt formatCode="General" sourceLinked="0"/>
        <c:majorTickMark val="out"/>
        <c:minorTickMark val="none"/>
        <c:tickLblPos val="nextTo"/>
        <c:crossAx val="628845000"/>
        <c:crosses val="autoZero"/>
        <c:auto val="1"/>
        <c:lblAlgn val="ctr"/>
        <c:lblOffset val="100"/>
        <c:noMultiLvlLbl val="0"/>
      </c:catAx>
      <c:valAx>
        <c:axId val="628845000"/>
        <c:scaling>
          <c:orientation val="minMax"/>
        </c:scaling>
        <c:delete val="0"/>
        <c:axPos val="l"/>
        <c:majorGridlines>
          <c:spPr>
            <a:ln>
              <a:noFill/>
            </a:ln>
          </c:spPr>
        </c:majorGridlines>
        <c:numFmt formatCode="General" sourceLinked="1"/>
        <c:majorTickMark val="out"/>
        <c:minorTickMark val="none"/>
        <c:tickLblPos val="nextTo"/>
        <c:crossAx val="628844608"/>
        <c:crosses val="autoZero"/>
        <c:crossBetween val="between"/>
      </c:valAx>
    </c:plotArea>
    <c:legend>
      <c:legendPos val="b"/>
      <c:overlay val="0"/>
    </c:legend>
    <c:plotVisOnly val="1"/>
    <c:dispBlanksAs val="zero"/>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Spill/</a:t>
            </a:r>
            <a:r>
              <a:rPr lang="en-US" baseline="0"/>
              <a:t> Release Contibuting Factors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'Incident Data'!$A$31</c:f>
              <c:strCache>
                <c:ptCount val="1"/>
                <c:pt idx="0">
                  <c:v>Mechanical Integrity</c:v>
                </c:pt>
              </c:strCache>
              <c:extLst xmlns:c15="http://schemas.microsoft.com/office/drawing/2012/chart"/>
            </c:strRef>
          </c:tx>
          <c:spPr>
            <a:solidFill>
              <a:srgbClr val="FFC000"/>
            </a:solidFill>
            <a:ln>
              <a:solidFill>
                <a:srgbClr val="FFC000"/>
              </a:solidFill>
            </a:ln>
            <a:effectLst/>
          </c:spPr>
          <c:invertIfNegative val="0"/>
          <c:cat>
            <c:strRef>
              <c:extLst>
                <c:ext xmlns:c15="http://schemas.microsoft.com/office/drawing/2012/chart" uri="{02D57815-91ED-43cb-92C2-25804820EDAC}">
                  <c15:fullRef>
                    <c15:sqref>'Incident Data'!$B$9:$M$9</c15:sqref>
                  </c15:fullRef>
                </c:ext>
              </c:extLst>
              <c:f>'Incident Data'!$B$9:$G$9</c:f>
              <c:strCache>
                <c:ptCount val="6"/>
                <c:pt idx="0">
                  <c:v>Jan</c:v>
                </c:pt>
                <c:pt idx="1">
                  <c:v>Feb</c:v>
                </c:pt>
                <c:pt idx="2">
                  <c:v>Mar</c:v>
                </c:pt>
                <c:pt idx="3">
                  <c:v>Apr</c:v>
                </c:pt>
                <c:pt idx="4">
                  <c:v>May</c:v>
                </c:pt>
                <c:pt idx="5">
                  <c:v>Jun</c:v>
                </c:pt>
              </c:strCache>
            </c:strRef>
          </c:cat>
          <c:val>
            <c:numRef>
              <c:extLst>
                <c:ext xmlns:c15="http://schemas.microsoft.com/office/drawing/2012/chart" uri="{02D57815-91ED-43cb-92C2-25804820EDAC}">
                  <c15:fullRef>
                    <c15:sqref>'Incident Data'!$B$31:$M$31</c15:sqref>
                  </c15:fullRef>
                </c:ext>
              </c:extLst>
              <c:f>'Incident Data'!$B$31:$G$31</c:f>
              <c:numCache>
                <c:formatCode>General</c:formatCode>
                <c:ptCount val="6"/>
                <c:pt idx="0">
                  <c:v>1</c:v>
                </c:pt>
                <c:pt idx="1">
                  <c:v>1</c:v>
                </c:pt>
                <c:pt idx="2">
                  <c:v>2</c:v>
                </c:pt>
                <c:pt idx="5">
                  <c:v>2</c:v>
                </c:pt>
              </c:numCache>
            </c:numRef>
          </c:val>
          <c:extLst xmlns:c15="http://schemas.microsoft.com/office/drawing/2012/chart">
            <c:ext xmlns:c16="http://schemas.microsoft.com/office/drawing/2014/chart" uri="{C3380CC4-5D6E-409C-BE32-E72D297353CC}">
              <c16:uniqueId val="{00000000-9797-4365-92F8-895D1B72C019}"/>
            </c:ext>
          </c:extLst>
        </c:ser>
        <c:ser>
          <c:idx val="1"/>
          <c:order val="1"/>
          <c:tx>
            <c:strRef>
              <c:f>'Incident Data'!$A$32</c:f>
              <c:strCache>
                <c:ptCount val="1"/>
                <c:pt idx="0">
                  <c:v>Human Error</c:v>
                </c:pt>
              </c:strCache>
              <c:extLst xmlns:c15="http://schemas.microsoft.com/office/drawing/2012/chart"/>
            </c:strRef>
          </c:tx>
          <c:spPr>
            <a:solidFill>
              <a:schemeClr val="bg1">
                <a:lumMod val="65000"/>
              </a:schemeClr>
            </a:solidFill>
            <a:ln>
              <a:solidFill>
                <a:schemeClr val="tx2"/>
              </a:solidFill>
            </a:ln>
            <a:effectLst/>
          </c:spPr>
          <c:invertIfNegative val="0"/>
          <c:cat>
            <c:strRef>
              <c:extLst>
                <c:ext xmlns:c15="http://schemas.microsoft.com/office/drawing/2012/chart" uri="{02D57815-91ED-43cb-92C2-25804820EDAC}">
                  <c15:fullRef>
                    <c15:sqref>'Incident Data'!$B$9:$M$9</c15:sqref>
                  </c15:fullRef>
                </c:ext>
              </c:extLst>
              <c:f>'Incident Data'!$B$9:$G$9</c:f>
              <c:strCache>
                <c:ptCount val="6"/>
                <c:pt idx="0">
                  <c:v>Jan</c:v>
                </c:pt>
                <c:pt idx="1">
                  <c:v>Feb</c:v>
                </c:pt>
                <c:pt idx="2">
                  <c:v>Mar</c:v>
                </c:pt>
                <c:pt idx="3">
                  <c:v>Apr</c:v>
                </c:pt>
                <c:pt idx="4">
                  <c:v>May</c:v>
                </c:pt>
                <c:pt idx="5">
                  <c:v>Jun</c:v>
                </c:pt>
              </c:strCache>
            </c:strRef>
          </c:cat>
          <c:val>
            <c:numRef>
              <c:extLst>
                <c:ext xmlns:c15="http://schemas.microsoft.com/office/drawing/2012/chart" uri="{02D57815-91ED-43cb-92C2-25804820EDAC}">
                  <c15:fullRef>
                    <c15:sqref>'Incident Data'!$B$32:$M$32</c15:sqref>
                  </c15:fullRef>
                </c:ext>
              </c:extLst>
              <c:f>'Incident Data'!$B$32:$G$32</c:f>
              <c:numCache>
                <c:formatCode>General</c:formatCode>
                <c:ptCount val="6"/>
                <c:pt idx="1">
                  <c:v>1</c:v>
                </c:pt>
                <c:pt idx="3">
                  <c:v>1</c:v>
                </c:pt>
              </c:numCache>
            </c:numRef>
          </c:val>
          <c:extLst xmlns:c15="http://schemas.microsoft.com/office/drawing/2012/chart">
            <c:ext xmlns:c16="http://schemas.microsoft.com/office/drawing/2014/chart" uri="{C3380CC4-5D6E-409C-BE32-E72D297353CC}">
              <c16:uniqueId val="{00000001-9797-4365-92F8-895D1B72C019}"/>
            </c:ext>
          </c:extLst>
        </c:ser>
        <c:dLbls>
          <c:showLegendKey val="0"/>
          <c:showVal val="0"/>
          <c:showCatName val="0"/>
          <c:showSerName val="0"/>
          <c:showPercent val="0"/>
          <c:showBubbleSize val="0"/>
        </c:dLbls>
        <c:gapWidth val="219"/>
        <c:overlap val="-27"/>
        <c:axId val="1286248464"/>
        <c:axId val="1286243888"/>
        <c:extLst/>
      </c:barChart>
      <c:lineChart>
        <c:grouping val="standard"/>
        <c:varyColors val="0"/>
        <c:ser>
          <c:idx val="2"/>
          <c:order val="2"/>
          <c:tx>
            <c:strRef>
              <c:f>'Incident Data'!$A$35</c:f>
              <c:strCache>
                <c:ptCount val="1"/>
                <c:pt idx="0">
                  <c:v>Accum. Mechanical Integrity</c:v>
                </c:pt>
              </c:strCache>
            </c:strRef>
          </c:tx>
          <c:spPr>
            <a:ln w="28575" cap="rnd">
              <a:solidFill>
                <a:schemeClr val="tx1"/>
              </a:solidFill>
              <a:round/>
            </a:ln>
            <a:effectLst/>
          </c:spPr>
          <c:marker>
            <c:symbol val="circle"/>
            <c:size val="5"/>
            <c:spPr>
              <a:solidFill>
                <a:schemeClr val="tx1">
                  <a:lumMod val="95000"/>
                  <a:lumOff val="5000"/>
                </a:schemeClr>
              </a:solidFill>
              <a:ln w="9525">
                <a:solidFill>
                  <a:schemeClr val="tx1"/>
                </a:solidFill>
              </a:ln>
              <a:effectLst/>
            </c:spPr>
          </c:marker>
          <c:dLbls>
            <c:dLbl>
              <c:idx val="0"/>
              <c:delete val="1"/>
              <c:extLst>
                <c:ext xmlns:c15="http://schemas.microsoft.com/office/drawing/2012/chart" uri="{CE6537A1-D6FC-4f65-9D91-7224C49458BB}"/>
                <c:ext xmlns:c16="http://schemas.microsoft.com/office/drawing/2014/chart" uri="{C3380CC4-5D6E-409C-BE32-E72D297353CC}">
                  <c16:uniqueId val="{00000002-9797-4365-92F8-895D1B72C019}"/>
                </c:ext>
              </c:extLst>
            </c:dLbl>
            <c:dLbl>
              <c:idx val="1"/>
              <c:delete val="1"/>
              <c:extLst>
                <c:ext xmlns:c15="http://schemas.microsoft.com/office/drawing/2012/chart" uri="{CE6537A1-D6FC-4f65-9D91-7224C49458BB}"/>
                <c:ext xmlns:c16="http://schemas.microsoft.com/office/drawing/2014/chart" uri="{C3380CC4-5D6E-409C-BE32-E72D297353CC}">
                  <c16:uniqueId val="{00000003-9797-4365-92F8-895D1B72C019}"/>
                </c:ext>
              </c:extLst>
            </c:dLbl>
            <c:dLbl>
              <c:idx val="2"/>
              <c:delete val="1"/>
              <c:extLst>
                <c:ext xmlns:c15="http://schemas.microsoft.com/office/drawing/2012/chart" uri="{CE6537A1-D6FC-4f65-9D91-7224C49458BB}"/>
                <c:ext xmlns:c16="http://schemas.microsoft.com/office/drawing/2014/chart" uri="{C3380CC4-5D6E-409C-BE32-E72D297353CC}">
                  <c16:uniqueId val="{00000004-9797-4365-92F8-895D1B72C019}"/>
                </c:ext>
              </c:extLst>
            </c:dLbl>
            <c:dLbl>
              <c:idx val="4"/>
              <c:delete val="1"/>
              <c:extLst>
                <c:ext xmlns:c15="http://schemas.microsoft.com/office/drawing/2012/chart" uri="{CE6537A1-D6FC-4f65-9D91-7224C49458BB}"/>
                <c:ext xmlns:c16="http://schemas.microsoft.com/office/drawing/2014/chart" uri="{C3380CC4-5D6E-409C-BE32-E72D297353CC}">
                  <c16:uniqueId val="{00000006-9797-4365-92F8-895D1B72C019}"/>
                </c:ext>
              </c:extLst>
            </c:dLbl>
            <c:dLbl>
              <c:idx val="5"/>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00-5E0E-4DDF-808E-B33A0FDEA8A9}"/>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'Incident Data'!$B$9:$M$9</c15:sqref>
                  </c15:fullRef>
                </c:ext>
              </c:extLst>
              <c:f>'Incident Data'!$B$9:$G$9</c:f>
              <c:strCache>
                <c:ptCount val="6"/>
                <c:pt idx="0">
                  <c:v>Jan</c:v>
                </c:pt>
                <c:pt idx="1">
                  <c:v>Feb</c:v>
                </c:pt>
                <c:pt idx="2">
                  <c:v>Mar</c:v>
                </c:pt>
                <c:pt idx="3">
                  <c:v>Apr</c:v>
                </c:pt>
                <c:pt idx="4">
                  <c:v>May</c:v>
                </c:pt>
                <c:pt idx="5">
                  <c:v>Jun</c:v>
                </c:pt>
                <c:pt idx="6">
                  <c:v>Nov</c:v>
                </c:pt>
                <c:pt idx="7">
                  <c:v>Dec</c:v>
                </c:pt>
              </c:strCache>
            </c:strRef>
          </c:cat>
          <c:val>
            <c:numRef>
              <c:extLst>
                <c:ext xmlns:c15="http://schemas.microsoft.com/office/drawing/2012/chart" uri="{02D57815-91ED-43cb-92C2-25804820EDAC}">
                  <c15:fullRef>
                    <c15:sqref>'Incident Data'!$B$35:$K$35</c15:sqref>
                  </c15:fullRef>
                </c:ext>
              </c:extLst>
              <c:f>'Incident Data'!$B$35:$G$35</c:f>
              <c:numCache>
                <c:formatCode>General</c:formatCode>
                <c:ptCount val="6"/>
                <c:pt idx="0">
                  <c:v>1</c:v>
                </c:pt>
                <c:pt idx="1">
                  <c:v>2</c:v>
                </c:pt>
                <c:pt idx="2">
                  <c:v>4</c:v>
                </c:pt>
                <c:pt idx="3">
                  <c:v>4</c:v>
                </c:pt>
              </c:numCache>
            </c:numRef>
          </c:val>
          <c:smooth val="0"/>
          <c:extLst>
            <c:ext xmlns:c15="http://schemas.microsoft.com/office/drawing/2012/chart" uri="{02D57815-91ED-43cb-92C2-25804820EDAC}">
              <c15:categoryFilterExceptions>
                <c15:categoryFilterException>
                  <c15:sqref>'Incident Data'!$H$35</c15:sqref>
                  <c15:dLbl>
                    <c:idx val="5"/>
                    <c:delete val="1"/>
                    <c:extLst>
                      <c:ext uri="{CE6537A1-D6FC-4f65-9D91-7224C49458BB}"/>
                      <c:ext xmlns:c16="http://schemas.microsoft.com/office/drawing/2014/chart" uri="{C3380CC4-5D6E-409C-BE32-E72D297353CC}">
                        <c16:uniqueId val="{00000000-DD03-4CC0-950C-4DD93B02959B}"/>
                      </c:ext>
                    </c:extLst>
                  </c15:dLbl>
                </c15:categoryFilterException>
                <c15:categoryFilterException>
                  <c15:sqref>'Incident Data'!$I$35</c15:sqref>
                  <c15:dLbl>
                    <c:idx val="5"/>
                    <c:delete val="1"/>
                    <c:extLst>
                      <c:ext uri="{CE6537A1-D6FC-4f65-9D91-7224C49458BB}"/>
                      <c:ext xmlns:c16="http://schemas.microsoft.com/office/drawing/2014/chart" uri="{C3380CC4-5D6E-409C-BE32-E72D297353CC}">
                        <c16:uniqueId val="{00000001-DD03-4CC0-950C-4DD93B02959B}"/>
                      </c:ext>
                    </c:extLst>
                  </c15:dLbl>
                </c15:categoryFilterException>
                <c15:categoryFilterException>
                  <c15:sqref>'Incident Data'!$J$35</c15:sqref>
                  <c15:dLbl>
                    <c:idx val="5"/>
                    <c:delete val="1"/>
                    <c:extLst>
                      <c:ext uri="{CE6537A1-D6FC-4f65-9D91-7224C49458BB}"/>
                      <c:ext xmlns:c16="http://schemas.microsoft.com/office/drawing/2014/chart" uri="{C3380CC4-5D6E-409C-BE32-E72D297353CC}">
                        <c16:uniqueId val="{00000002-DD03-4CC0-950C-4DD93B02959B}"/>
                      </c:ext>
                    </c:extLst>
                  </c15:dLbl>
                </c15:categoryFilterException>
              </c15:categoryFilterExceptions>
            </c:ext>
            <c:ext xmlns:c16="http://schemas.microsoft.com/office/drawing/2014/chart" uri="{C3380CC4-5D6E-409C-BE32-E72D297353CC}">
              <c16:uniqueId val="{00000007-9797-4365-92F8-895D1B72C019}"/>
            </c:ext>
          </c:extLst>
        </c:ser>
        <c:ser>
          <c:idx val="3"/>
          <c:order val="3"/>
          <c:tx>
            <c:strRef>
              <c:f>'Incident Data'!$A$36</c:f>
              <c:strCache>
                <c:ptCount val="1"/>
                <c:pt idx="0">
                  <c:v>Accumulating Human Error</c:v>
                </c:pt>
              </c:strCache>
            </c:strRef>
          </c:tx>
          <c:spPr>
            <a:ln w="28575" cap="rnd">
              <a:solidFill>
                <a:srgbClr val="FFC000"/>
              </a:solidFill>
              <a:round/>
            </a:ln>
            <a:effectLst/>
          </c:spPr>
          <c:marker>
            <c:symbol val="circle"/>
            <c:size val="5"/>
            <c:spPr>
              <a:solidFill>
                <a:srgbClr val="FFC000"/>
              </a:solidFill>
              <a:ln w="9525">
                <a:solidFill>
                  <a:srgbClr val="FFC000"/>
                </a:solidFill>
              </a:ln>
              <a:effectLst/>
            </c:spPr>
          </c:marker>
          <c:dLbls>
            <c:dLbl>
              <c:idx val="0"/>
              <c:delete val="1"/>
              <c:extLst>
                <c:ext xmlns:c15="http://schemas.microsoft.com/office/drawing/2012/chart" uri="{CE6537A1-D6FC-4f65-9D91-7224C49458BB}"/>
                <c:ext xmlns:c16="http://schemas.microsoft.com/office/drawing/2014/chart" uri="{C3380CC4-5D6E-409C-BE32-E72D297353CC}">
                  <c16:uniqueId val="{00000008-9797-4365-92F8-895D1B72C019}"/>
                </c:ext>
              </c:extLst>
            </c:dLbl>
            <c:dLbl>
              <c:idx val="1"/>
              <c:delete val="1"/>
              <c:extLst>
                <c:ext xmlns:c15="http://schemas.microsoft.com/office/drawing/2012/chart" uri="{CE6537A1-D6FC-4f65-9D91-7224C49458BB}"/>
                <c:ext xmlns:c16="http://schemas.microsoft.com/office/drawing/2014/chart" uri="{C3380CC4-5D6E-409C-BE32-E72D297353CC}">
                  <c16:uniqueId val="{00000009-9797-4365-92F8-895D1B72C019}"/>
                </c:ext>
              </c:extLst>
            </c:dLbl>
            <c:dLbl>
              <c:idx val="2"/>
              <c:delete val="1"/>
              <c:extLst>
                <c:ext xmlns:c15="http://schemas.microsoft.com/office/drawing/2012/chart" uri="{CE6537A1-D6FC-4f65-9D91-7224C49458BB}"/>
                <c:ext xmlns:c16="http://schemas.microsoft.com/office/drawing/2014/chart" uri="{C3380CC4-5D6E-409C-BE32-E72D297353CC}">
                  <c16:uniqueId val="{0000000A-9797-4365-92F8-895D1B72C019}"/>
                </c:ext>
              </c:extLst>
            </c:dLbl>
            <c:dLbl>
              <c:idx val="4"/>
              <c:delete val="1"/>
              <c:extLst>
                <c:ext xmlns:c15="http://schemas.microsoft.com/office/drawing/2012/chart" uri="{CE6537A1-D6FC-4f65-9D91-7224C49458BB}"/>
                <c:ext xmlns:c16="http://schemas.microsoft.com/office/drawing/2014/chart" uri="{C3380CC4-5D6E-409C-BE32-E72D297353CC}">
                  <c16:uniqueId val="{0000000C-9797-4365-92F8-895D1B72C019}"/>
                </c:ext>
              </c:extLst>
            </c:dLbl>
            <c:dLbl>
              <c:idx val="5"/>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04-5E0E-4DDF-808E-B33A0FDEA8A9}"/>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'Incident Data'!$B$9:$M$9</c15:sqref>
                  </c15:fullRef>
                </c:ext>
              </c:extLst>
              <c:f>'Incident Data'!$B$9:$G$9</c:f>
              <c:strCache>
                <c:ptCount val="6"/>
                <c:pt idx="0">
                  <c:v>Jan</c:v>
                </c:pt>
                <c:pt idx="1">
                  <c:v>Feb</c:v>
                </c:pt>
                <c:pt idx="2">
                  <c:v>Mar</c:v>
                </c:pt>
                <c:pt idx="3">
                  <c:v>Apr</c:v>
                </c:pt>
                <c:pt idx="4">
                  <c:v>May</c:v>
                </c:pt>
                <c:pt idx="5">
                  <c:v>Jun</c:v>
                </c:pt>
                <c:pt idx="6">
                  <c:v>Nov</c:v>
                </c:pt>
                <c:pt idx="7">
                  <c:v>Dec</c:v>
                </c:pt>
              </c:strCache>
            </c:strRef>
          </c:cat>
          <c:val>
            <c:numRef>
              <c:extLst>
                <c:ext xmlns:c15="http://schemas.microsoft.com/office/drawing/2012/chart" uri="{02D57815-91ED-43cb-92C2-25804820EDAC}">
                  <c15:fullRef>
                    <c15:sqref>'Incident Data'!$B$36:$K$36</c15:sqref>
                  </c15:fullRef>
                </c:ext>
              </c:extLst>
              <c:f>'Incident Data'!$B$36:$G$36</c:f>
              <c:numCache>
                <c:formatCode>General</c:formatCode>
                <c:ptCount val="6"/>
                <c:pt idx="0">
                  <c:v>0</c:v>
                </c:pt>
                <c:pt idx="1">
                  <c:v>1</c:v>
                </c:pt>
                <c:pt idx="2">
                  <c:v>1</c:v>
                </c:pt>
                <c:pt idx="3">
                  <c:v>2</c:v>
                </c:pt>
              </c:numCache>
            </c:numRef>
          </c:val>
          <c:smooth val="0"/>
          <c:extLst>
            <c:ext xmlns:c15="http://schemas.microsoft.com/office/drawing/2012/chart" uri="{02D57815-91ED-43cb-92C2-25804820EDAC}">
              <c15:categoryFilterExceptions>
                <c15:categoryFilterException>
                  <c15:sqref>'Incident Data'!$H$36</c15:sqref>
                  <c15:dLbl>
                    <c:idx val="5"/>
                    <c:delete val="1"/>
                    <c:extLst>
                      <c:ext uri="{CE6537A1-D6FC-4f65-9D91-7224C49458BB}"/>
                      <c:ext xmlns:c16="http://schemas.microsoft.com/office/drawing/2014/chart" uri="{C3380CC4-5D6E-409C-BE32-E72D297353CC}">
                        <c16:uniqueId val="{00000003-DD03-4CC0-950C-4DD93B02959B}"/>
                      </c:ext>
                    </c:extLst>
                  </c15:dLbl>
                </c15:categoryFilterException>
                <c15:categoryFilterException>
                  <c15:sqref>'Incident Data'!$I$36</c15:sqref>
                  <c15:dLbl>
                    <c:idx val="5"/>
                    <c:delete val="1"/>
                    <c:extLst>
                      <c:ext uri="{CE6537A1-D6FC-4f65-9D91-7224C49458BB}"/>
                      <c:ext xmlns:c16="http://schemas.microsoft.com/office/drawing/2014/chart" uri="{C3380CC4-5D6E-409C-BE32-E72D297353CC}">
                        <c16:uniqueId val="{00000004-DD03-4CC0-950C-4DD93B02959B}"/>
                      </c:ext>
                    </c:extLst>
                  </c15:dLbl>
                </c15:categoryFilterException>
                <c15:categoryFilterException>
                  <c15:sqref>'Incident Data'!$J$36</c15:sqref>
                  <c15:dLbl>
                    <c:idx val="5"/>
                    <c:delete val="1"/>
                    <c:extLst>
                      <c:ext uri="{CE6537A1-D6FC-4f65-9D91-7224C49458BB}"/>
                      <c:ext xmlns:c16="http://schemas.microsoft.com/office/drawing/2014/chart" uri="{C3380CC4-5D6E-409C-BE32-E72D297353CC}">
                        <c16:uniqueId val="{00000005-DD03-4CC0-950C-4DD93B02959B}"/>
                      </c:ext>
                    </c:extLst>
                  </c15:dLbl>
                </c15:categoryFilterException>
              </c15:categoryFilterExceptions>
            </c:ext>
            <c:ext xmlns:c16="http://schemas.microsoft.com/office/drawing/2014/chart" uri="{C3380CC4-5D6E-409C-BE32-E72D297353CC}">
              <c16:uniqueId val="{0000000D-9797-4365-92F8-895D1B72C019}"/>
            </c:ext>
          </c:extLst>
        </c:ser>
        <c:dLbls>
          <c:showLegendKey val="0"/>
          <c:showVal val="0"/>
          <c:showCatName val="0"/>
          <c:showSerName val="0"/>
          <c:showPercent val="0"/>
          <c:showBubbleSize val="0"/>
        </c:dLbls>
        <c:marker val="1"/>
        <c:smooth val="0"/>
        <c:axId val="1286248464"/>
        <c:axId val="1286243888"/>
      </c:lineChart>
      <c:catAx>
        <c:axId val="1286248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243888"/>
        <c:crosses val="autoZero"/>
        <c:auto val="1"/>
        <c:lblAlgn val="ctr"/>
        <c:lblOffset val="100"/>
        <c:noMultiLvlLbl val="0"/>
      </c:catAx>
      <c:valAx>
        <c:axId val="12862438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2484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EHS Incidents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'Incident Data'!$AH$71</c:f>
              <c:strCache>
                <c:ptCount val="1"/>
                <c:pt idx="0">
                  <c:v>2025</c:v>
                </c:pt>
              </c:strCache>
            </c:strRef>
          </c:tx>
          <c:spPr>
            <a:solidFill>
              <a:schemeClr val="bg1">
                <a:lumMod val="65000"/>
              </a:schemeClr>
            </a:solidFill>
            <a:ln>
              <a:solidFill>
                <a:schemeClr val="tx2"/>
              </a:solidFill>
            </a:ln>
            <a:effectLst/>
          </c:spPr>
          <c:invertIfNegative val="0"/>
          <c:cat>
            <c:strRef>
              <c:extLst>
                <c:ext xmlns:c15="http://schemas.microsoft.com/office/drawing/2012/chart" uri="{02D57815-91ED-43cb-92C2-25804820EDAC}">
                  <c15:fullRef>
                    <c15:sqref>'Incident Data'!$AI$70:$AT$70</c15:sqref>
                  </c15:fullRef>
                </c:ext>
              </c:extLst>
              <c:f>'Incident Data'!$AI$70:$AR$70</c:f>
              <c:strCache>
                <c:ptCount val="10"/>
                <c:pt idx="0">
                  <c:v>Jan</c:v>
                </c:pt>
                <c:pt idx="1">
                  <c:v>Feb</c:v>
                </c:pt>
                <c:pt idx="2">
                  <c:v>Mar</c:v>
                </c:pt>
                <c:pt idx="3">
                  <c:v>Apr</c:v>
                </c:pt>
                <c:pt idx="4">
                  <c:v>May</c:v>
                </c:pt>
                <c:pt idx="5">
                  <c:v>Jun</c:v>
                </c:pt>
                <c:pt idx="6">
                  <c:v>Jul</c:v>
                </c:pt>
                <c:pt idx="7">
                  <c:v>Aug</c:v>
                </c:pt>
                <c:pt idx="8">
                  <c:v>Sep</c:v>
                </c:pt>
                <c:pt idx="9">
                  <c:v>Oct</c:v>
                </c:pt>
              </c:strCache>
            </c:strRef>
          </c:cat>
          <c:val>
            <c:numRef>
              <c:extLst>
                <c:ext xmlns:c15="http://schemas.microsoft.com/office/drawing/2012/chart" uri="{02D57815-91ED-43cb-92C2-25804820EDAC}">
                  <c15:fullRef>
                    <c15:sqref>'Incident Data'!$AI$71:$AT$71</c15:sqref>
                  </c15:fullRef>
                </c:ext>
              </c:extLst>
              <c:f>'Incident Data'!$AI$71:$AR$71</c:f>
              <c:numCache>
                <c:formatCode>General</c:formatCode>
                <c:ptCount val="10"/>
                <c:pt idx="0">
                  <c:v>5</c:v>
                </c:pt>
                <c:pt idx="1">
                  <c:v>0</c:v>
                </c:pt>
                <c:pt idx="2">
                  <c:v>4</c:v>
                </c:pt>
                <c:pt idx="3">
                  <c:v>5</c:v>
                </c:pt>
                <c:pt idx="4">
                  <c:v>2</c:v>
                </c:pt>
                <c:pt idx="5">
                  <c:v>4</c:v>
                </c:pt>
                <c:pt idx="6">
                  <c:v>6</c:v>
                </c:pt>
                <c:pt idx="7">
                  <c:v>6</c:v>
                </c:pt>
                <c:pt idx="8">
                  <c:v>4</c:v>
                </c:pt>
                <c:pt idx="9">
                  <c:v>2</c:v>
                </c:pt>
              </c:numCache>
            </c:numRef>
          </c:val>
          <c:extLst>
            <c:ext xmlns:c16="http://schemas.microsoft.com/office/drawing/2014/chart" uri="{C3380CC4-5D6E-409C-BE32-E72D297353CC}">
              <c16:uniqueId val="{00000000-7C56-4473-BB66-A84AD6525726}"/>
            </c:ext>
          </c:extLst>
        </c:ser>
        <c:ser>
          <c:idx val="1"/>
          <c:order val="1"/>
          <c:tx>
            <c:strRef>
              <c:f>'Incident Data'!$AH$72</c:f>
              <c:strCache>
                <c:ptCount val="1"/>
                <c:pt idx="0">
                  <c:v>2026</c:v>
                </c:pt>
              </c:strCache>
            </c:strRef>
          </c:tx>
          <c:spPr>
            <a:solidFill>
              <a:srgbClr val="FFC000"/>
            </a:solidFill>
            <a:ln>
              <a:solidFill>
                <a:srgbClr val="FFC000"/>
              </a:solidFill>
            </a:ln>
            <a:effectLst/>
          </c:spPr>
          <c:invertIfNegative val="0"/>
          <c:dLbls>
            <c:dLbl>
              <c:idx val="1"/>
              <c:delete val="1"/>
              <c:extLst>
                <c:ext xmlns:c15="http://schemas.microsoft.com/office/drawing/2012/chart" uri="{CE6537A1-D6FC-4f65-9D91-7224C49458BB}"/>
                <c:ext xmlns:c16="http://schemas.microsoft.com/office/drawing/2014/chart" uri="{C3380CC4-5D6E-409C-BE32-E72D297353CC}">
                  <c16:uniqueId val="{00000000-1ED3-40F1-BCD6-BAEAF22132DC}"/>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'Incident Data'!$AI$70:$AT$70</c15:sqref>
                  </c15:fullRef>
                </c:ext>
              </c:extLst>
              <c:f>'Incident Data'!$AI$70:$AR$70</c:f>
              <c:strCache>
                <c:ptCount val="10"/>
                <c:pt idx="0">
                  <c:v>Jan</c:v>
                </c:pt>
                <c:pt idx="1">
                  <c:v>Feb</c:v>
                </c:pt>
                <c:pt idx="2">
                  <c:v>Mar</c:v>
                </c:pt>
                <c:pt idx="3">
                  <c:v>Apr</c:v>
                </c:pt>
                <c:pt idx="4">
                  <c:v>May</c:v>
                </c:pt>
                <c:pt idx="5">
                  <c:v>Jun</c:v>
                </c:pt>
                <c:pt idx="6">
                  <c:v>Jul</c:v>
                </c:pt>
                <c:pt idx="7">
                  <c:v>Aug</c:v>
                </c:pt>
                <c:pt idx="8">
                  <c:v>Sep</c:v>
                </c:pt>
                <c:pt idx="9">
                  <c:v>Oct</c:v>
                </c:pt>
              </c:strCache>
            </c:strRef>
          </c:cat>
          <c:val>
            <c:numRef>
              <c:extLst>
                <c:ext xmlns:c15="http://schemas.microsoft.com/office/drawing/2012/chart" uri="{02D57815-91ED-43cb-92C2-25804820EDAC}">
                  <c15:fullRef>
                    <c15:sqref>'Incident Data'!$AI$72:$AT$72</c15:sqref>
                  </c15:fullRef>
                </c:ext>
              </c:extLst>
              <c:f>'Incident Data'!$AI$72:$AR$72</c:f>
              <c:numCache>
                <c:formatCode>General</c:formatCode>
                <c:ptCount val="10"/>
                <c:pt idx="0">
                  <c:v>5</c:v>
                </c:pt>
                <c:pt idx="1">
                  <c:v>6</c:v>
                </c:pt>
                <c:pt idx="2">
                  <c:v>5</c:v>
                </c:pt>
                <c:pt idx="3">
                  <c:v>6</c:v>
                </c:pt>
                <c:pt idx="4">
                  <c:v>2</c:v>
                </c:pt>
                <c:pt idx="5">
                  <c:v>4</c:v>
                </c:pt>
                <c:pt idx="6">
                  <c:v>5</c:v>
                </c:pt>
                <c:pt idx="7">
                  <c:v>3</c:v>
                </c:pt>
                <c:pt idx="8">
                  <c:v>4</c:v>
                </c:pt>
                <c:pt idx="9">
                  <c:v>0</c:v>
                </c:pt>
              </c:numCache>
            </c:numRef>
          </c:val>
          <c:extLst>
            <c:ext xmlns:c16="http://schemas.microsoft.com/office/drawing/2014/chart" uri="{C3380CC4-5D6E-409C-BE32-E72D297353CC}">
              <c16:uniqueId val="{00000001-7C56-4473-BB66-A84AD6525726}"/>
            </c:ext>
          </c:extLst>
        </c:ser>
        <c:dLbls>
          <c:showLegendKey val="0"/>
          <c:showVal val="0"/>
          <c:showCatName val="0"/>
          <c:showSerName val="0"/>
          <c:showPercent val="0"/>
          <c:showBubbleSize val="0"/>
        </c:dLbls>
        <c:gapWidth val="150"/>
        <c:axId val="2059888559"/>
        <c:axId val="2059889039"/>
      </c:barChart>
      <c:catAx>
        <c:axId val="2059888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889039"/>
        <c:crosses val="autoZero"/>
        <c:auto val="1"/>
        <c:lblAlgn val="ctr"/>
        <c:lblOffset val="100"/>
        <c:noMultiLvlLbl val="0"/>
      </c:catAx>
      <c:valAx>
        <c:axId val="20598890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8885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PSM</a:t>
            </a:r>
            <a:r>
              <a:rPr lang="en-US" baseline="0"/>
              <a:t> Incidents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61444267440854E-2"/>
          <c:y val="0.16481925070840578"/>
          <c:w val="0.93267880912307732"/>
          <c:h val="0.64934952831049997"/>
        </c:manualLayout>
      </c:layout>
      <c:barChart>
        <c:barDir val="col"/>
        <c:grouping val="clustered"/>
        <c:varyColors val="0"/>
        <c:ser>
          <c:idx val="0"/>
          <c:order val="0"/>
          <c:tx>
            <c:strRef>
              <c:f>'Incident Data'!$AH$93</c:f>
              <c:strCache>
                <c:ptCount val="1"/>
                <c:pt idx="0">
                  <c:v>2025</c:v>
                </c:pt>
              </c:strCache>
            </c:strRef>
          </c:tx>
          <c:spPr>
            <a:solidFill>
              <a:schemeClr val="bg1">
                <a:lumMod val="75000"/>
              </a:schemeClr>
            </a:solidFill>
            <a:ln>
              <a:solidFill>
                <a:sysClr val="windowText" lastClr="000000"/>
              </a:solidFill>
            </a:ln>
            <a:effectLst/>
          </c:spPr>
          <c:invertIfNegative val="0"/>
          <c:cat>
            <c:strRef>
              <c:extLst>
                <c:ext xmlns:c15="http://schemas.microsoft.com/office/drawing/2012/chart" uri="{02D57815-91ED-43cb-92C2-25804820EDAC}">
                  <c15:fullRef>
                    <c15:sqref>'Incident Data'!$AI$92:$AT$92</c15:sqref>
                  </c15:fullRef>
                </c:ext>
              </c:extLst>
              <c:f>'Incident Data'!$AI$92:$AR$92</c:f>
              <c:strCache>
                <c:ptCount val="10"/>
                <c:pt idx="0">
                  <c:v>Jan</c:v>
                </c:pt>
                <c:pt idx="1">
                  <c:v>Feb</c:v>
                </c:pt>
                <c:pt idx="2">
                  <c:v>Mar</c:v>
                </c:pt>
                <c:pt idx="3">
                  <c:v>Apr</c:v>
                </c:pt>
                <c:pt idx="4">
                  <c:v>May</c:v>
                </c:pt>
                <c:pt idx="5">
                  <c:v>Jun</c:v>
                </c:pt>
                <c:pt idx="6">
                  <c:v>Jul</c:v>
                </c:pt>
                <c:pt idx="7">
                  <c:v>Aug</c:v>
                </c:pt>
                <c:pt idx="8">
                  <c:v>Sep</c:v>
                </c:pt>
                <c:pt idx="9">
                  <c:v>Oct</c:v>
                </c:pt>
              </c:strCache>
            </c:strRef>
          </c:cat>
          <c:val>
            <c:numRef>
              <c:extLst>
                <c:ext xmlns:c15="http://schemas.microsoft.com/office/drawing/2012/chart" uri="{02D57815-91ED-43cb-92C2-25804820EDAC}">
                  <c15:fullRef>
                    <c15:sqref>'Incident Data'!$AI$93:$AT$93</c15:sqref>
                  </c15:fullRef>
                </c:ext>
              </c:extLst>
              <c:f>'Incident Data'!$AI$93:$AR$93</c:f>
              <c:numCache>
                <c:formatCode>General</c:formatCode>
                <c:ptCount val="10"/>
              </c:numCache>
            </c:numRef>
          </c:val>
          <c:extLst>
            <c:ext xmlns:c16="http://schemas.microsoft.com/office/drawing/2014/chart" uri="{C3380CC4-5D6E-409C-BE32-E72D297353CC}">
              <c16:uniqueId val="{00000000-BC64-40CC-B891-425E35DEAEB9}"/>
            </c:ext>
          </c:extLst>
        </c:ser>
        <c:dLbls>
          <c:showLegendKey val="0"/>
          <c:showVal val="0"/>
          <c:showCatName val="0"/>
          <c:showSerName val="0"/>
          <c:showPercent val="0"/>
          <c:showBubbleSize val="0"/>
        </c:dLbls>
        <c:gapWidth val="219"/>
        <c:axId val="507759647"/>
        <c:axId val="500563583"/>
      </c:barChart>
      <c:lineChart>
        <c:grouping val="standard"/>
        <c:varyColors val="0"/>
        <c:ser>
          <c:idx val="1"/>
          <c:order val="1"/>
          <c:tx>
            <c:strRef>
              <c:f>'Incident Data'!$AH$94</c:f>
              <c:strCache>
                <c:ptCount val="1"/>
                <c:pt idx="0">
                  <c:v>2026</c:v>
                </c:pt>
              </c:strCache>
            </c:strRef>
          </c:tx>
          <c:spPr>
            <a:ln w="28575" cap="rnd">
              <a:solidFill>
                <a:schemeClr val="accent6"/>
              </a:solidFill>
              <a:round/>
            </a:ln>
            <a:effectLst/>
          </c:spPr>
          <c:marker>
            <c:symbol val="none"/>
          </c:marker>
          <c:dPt>
            <c:idx val="1"/>
            <c:marker>
              <c:symbol val="none"/>
            </c:marker>
            <c:bubble3D val="0"/>
            <c:extLst>
              <c:ext xmlns:c16="http://schemas.microsoft.com/office/drawing/2014/chart" uri="{C3380CC4-5D6E-409C-BE32-E72D297353CC}">
                <c16:uniqueId val="{00000001-BC64-40CC-B891-425E35DEAEB9}"/>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'Incident Data'!$AI$92:$AT$92</c15:sqref>
                  </c15:fullRef>
                </c:ext>
              </c:extLst>
              <c:f>'Incident Data'!$AI$92:$AR$92</c:f>
              <c:strCache>
                <c:ptCount val="10"/>
                <c:pt idx="0">
                  <c:v>Jan</c:v>
                </c:pt>
                <c:pt idx="1">
                  <c:v>Feb</c:v>
                </c:pt>
                <c:pt idx="2">
                  <c:v>Mar</c:v>
                </c:pt>
                <c:pt idx="3">
                  <c:v>Apr</c:v>
                </c:pt>
                <c:pt idx="4">
                  <c:v>May</c:v>
                </c:pt>
                <c:pt idx="5">
                  <c:v>Jun</c:v>
                </c:pt>
                <c:pt idx="6">
                  <c:v>Jul</c:v>
                </c:pt>
                <c:pt idx="7">
                  <c:v>Aug</c:v>
                </c:pt>
                <c:pt idx="8">
                  <c:v>Sep</c:v>
                </c:pt>
                <c:pt idx="9">
                  <c:v>Oct</c:v>
                </c:pt>
              </c:strCache>
            </c:strRef>
          </c:cat>
          <c:val>
            <c:numRef>
              <c:extLst>
                <c:ext xmlns:c15="http://schemas.microsoft.com/office/drawing/2012/chart" uri="{02D57815-91ED-43cb-92C2-25804820EDAC}">
                  <c15:fullRef>
                    <c15:sqref>'Incident Data'!$AI$94:$AT$94</c15:sqref>
                  </c15:fullRef>
                </c:ext>
              </c:extLst>
              <c:f>'Incident Data'!$AI$94:$AR$94</c:f>
              <c:numCache>
                <c:formatCode>General</c:formatCode>
                <c:ptCount val="10"/>
                <c:pt idx="1">
                  <c:v>1</c:v>
                </c:pt>
                <c:pt idx="2">
                  <c:v>1</c:v>
                </c:pt>
                <c:pt idx="3">
                  <c:v>1</c:v>
                </c:pt>
              </c:numCache>
            </c:numRef>
          </c:val>
          <c:smooth val="0"/>
          <c:extLst>
            <c:ext xmlns:c16="http://schemas.microsoft.com/office/drawing/2014/chart" uri="{C3380CC4-5D6E-409C-BE32-E72D297353CC}">
              <c16:uniqueId val="{00000002-BC64-40CC-B891-425E35DEAEB9}"/>
            </c:ext>
          </c:extLst>
        </c:ser>
        <c:dLbls>
          <c:showLegendKey val="0"/>
          <c:showVal val="0"/>
          <c:showCatName val="0"/>
          <c:showSerName val="0"/>
          <c:showPercent val="0"/>
          <c:showBubbleSize val="0"/>
        </c:dLbls>
        <c:marker val="1"/>
        <c:smooth val="0"/>
        <c:axId val="507759647"/>
        <c:axId val="500563583"/>
      </c:lineChart>
      <c:catAx>
        <c:axId val="507759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563583"/>
        <c:crosses val="autoZero"/>
        <c:auto val="1"/>
        <c:lblAlgn val="ctr"/>
        <c:lblOffset val="100"/>
        <c:noMultiLvlLbl val="0"/>
      </c:catAx>
      <c:valAx>
        <c:axId val="5005635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7596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Environmental</a:t>
            </a:r>
            <a:r>
              <a:rPr lang="en-US" baseline="0"/>
              <a:t> Excursions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'Incident Data'!#REF!</c:f>
              <c:strCache>
                <c:ptCount val="1"/>
                <c:pt idx="0">
                  <c:v>2023</c:v>
                </c:pt>
              </c:strCache>
            </c:strRef>
          </c:tx>
          <c:spPr>
            <a:solidFill>
              <a:schemeClr val="bg1">
                <a:lumMod val="65000"/>
              </a:schemeClr>
            </a:solidFill>
            <a:ln>
              <a:solidFill>
                <a:sysClr val="windowText" lastClr="000000"/>
              </a:solidFill>
            </a:ln>
            <a:effectLst/>
          </c:spPr>
          <c:invertIfNegative val="0"/>
          <c:cat>
            <c:strRef>
              <c:f>'Incident Data'!$BH$6:$BS$6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'Incident Data'!#REF!</c:f>
            </c:numRef>
          </c:val>
          <c:extLst>
            <c:ext xmlns:c16="http://schemas.microsoft.com/office/drawing/2014/chart" uri="{C3380CC4-5D6E-409C-BE32-E72D297353CC}">
              <c16:uniqueId val="{00000000-FB44-404A-A8CB-252A04D606D0}"/>
            </c:ext>
          </c:extLst>
        </c:ser>
        <c:dLbls>
          <c:showLegendKey val="0"/>
          <c:showVal val="0"/>
          <c:showCatName val="0"/>
          <c:showSerName val="0"/>
          <c:showPercent val="0"/>
          <c:showBubbleSize val="0"/>
        </c:dLbls>
        <c:gapWidth val="150"/>
        <c:axId val="111722976"/>
        <c:axId val="2052484800"/>
      </c:barChart>
      <c:lineChart>
        <c:grouping val="standard"/>
        <c:varyColors val="0"/>
        <c:ser>
          <c:idx val="1"/>
          <c:order val="1"/>
          <c:tx>
            <c:strRef>
              <c:f>'Incident Data'!$BG$7</c:f>
              <c:strCache>
                <c:ptCount val="1"/>
                <c:pt idx="0">
                  <c:v>2024</c:v>
                </c:pt>
              </c:strCache>
            </c:strRef>
          </c:tx>
          <c:spPr>
            <a:ln w="28575" cap="rnd">
              <a:solidFill>
                <a:schemeClr val="accent6"/>
              </a:solidFill>
              <a:round/>
            </a:ln>
            <a:effectLst/>
          </c:spPr>
          <c:marker>
            <c:symbol val="none"/>
          </c:marker>
          <c:dPt>
            <c:idx val="1"/>
            <c:marker>
              <c:symbol val="none"/>
            </c:marker>
            <c:bubble3D val="0"/>
            <c:extLst>
              <c:ext xmlns:c16="http://schemas.microsoft.com/office/drawing/2014/chart" uri="{C3380CC4-5D6E-409C-BE32-E72D297353CC}">
                <c16:uniqueId val="{00000001-FB44-404A-A8CB-252A04D606D0}"/>
              </c:ext>
            </c:extLst>
          </c:dPt>
          <c:dPt>
            <c:idx val="2"/>
            <c:marker>
              <c:symbol val="none"/>
            </c:marker>
            <c:bubble3D val="0"/>
            <c:extLst>
              <c:ext xmlns:c16="http://schemas.microsoft.com/office/drawing/2014/chart" uri="{C3380CC4-5D6E-409C-BE32-E72D297353CC}">
                <c16:uniqueId val="{00000002-FB44-404A-A8CB-252A04D606D0}"/>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'Incident Data'!$BH$6:$BS$6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'Incident Data'!$BH$7:$BS$7</c:f>
              <c:numCache>
                <c:formatCode>General</c:formatCode>
                <c:ptCount val="12"/>
              </c:numCache>
            </c:numRef>
          </c:val>
          <c:smooth val="0"/>
          <c:extLst>
            <c:ext xmlns:c16="http://schemas.microsoft.com/office/drawing/2014/chart" uri="{C3380CC4-5D6E-409C-BE32-E72D297353CC}">
              <c16:uniqueId val="{00000003-FB44-404A-A8CB-252A04D606D0}"/>
            </c:ext>
          </c:extLst>
        </c:ser>
        <c:dLbls>
          <c:showLegendKey val="0"/>
          <c:showVal val="0"/>
          <c:showCatName val="0"/>
          <c:showSerName val="0"/>
          <c:showPercent val="0"/>
          <c:showBubbleSize val="0"/>
        </c:dLbls>
        <c:marker val="1"/>
        <c:smooth val="0"/>
        <c:axId val="111722976"/>
        <c:axId val="2052484800"/>
      </c:lineChart>
      <c:catAx>
        <c:axId val="1117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484800"/>
        <c:crosses val="autoZero"/>
        <c:auto val="1"/>
        <c:lblAlgn val="ctr"/>
        <c:lblOffset val="100"/>
        <c:noMultiLvlLbl val="0"/>
      </c:catAx>
      <c:valAx>
        <c:axId val="20524848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7229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Incident</a:t>
            </a:r>
            <a:r>
              <a:rPr lang="en-US" b="1" baseline="0"/>
              <a:t> Type by Area</a:t>
            </a:r>
          </a:p>
          <a:p>
            <a:pPr>
              <a:defRPr b="1"/>
            </a:pP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'Area Data'!$C$7</c:f>
              <c:strCache>
                <c:ptCount val="1"/>
                <c:pt idx="0">
                  <c:v>First Aid</c:v>
                </c:pt>
              </c:strCache>
            </c:strRef>
          </c:tx>
          <c:spPr>
            <a:solidFill>
              <a:schemeClr val="accent1"/>
            </a:solidFill>
            <a:ln>
              <a:noFill/>
            </a:ln>
            <a:effectLst/>
          </c:spPr>
          <c:invertIfNegative val="0"/>
          <c:cat>
            <c:strRef>
              <c:extLst>
                <c:ext xmlns:c15="http://schemas.microsoft.com/office/drawing/2012/chart" uri="{02D57815-91ED-43cb-92C2-25804820EDAC}">
                  <c15:fullRef>
                    <c15:sqref>'Area Data'!$B$9:$B$22</c15:sqref>
                  </c15:fullRef>
                </c:ext>
              </c:extLst>
              <c:f>('Area Data'!$B$9:$B$12,'Area Data'!$B$14:$B$15,'Area Data'!$B$21:$B$22)</c:f>
              <c:strCache>
                <c:ptCount val="8"/>
                <c:pt idx="0">
                  <c:v>100</c:v>
                </c:pt>
                <c:pt idx="1">
                  <c:v>200</c:v>
                </c:pt>
                <c:pt idx="2">
                  <c:v>300</c:v>
                </c:pt>
                <c:pt idx="3">
                  <c:v>400</c:v>
                </c:pt>
                <c:pt idx="4">
                  <c:v>600</c:v>
                </c:pt>
                <c:pt idx="5">
                  <c:v>700</c:v>
                </c:pt>
                <c:pt idx="6">
                  <c:v>Mundy</c:v>
                </c:pt>
                <c:pt idx="7">
                  <c:v>3rd Patry</c:v>
                </c:pt>
              </c:strCache>
            </c:strRef>
          </c:cat>
          <c:val>
            <c:numRef>
              <c:extLst>
                <c:ext xmlns:c15="http://schemas.microsoft.com/office/drawing/2012/chart" uri="{02D57815-91ED-43cb-92C2-25804820EDAC}">
                  <c15:fullRef>
                    <c15:sqref>'Area Data'!$C$9:$C$22</c15:sqref>
                  </c15:fullRef>
                </c:ext>
              </c:extLst>
              <c:f>('Area Data'!$C$9:$C$12,'Area Data'!$C$14:$C$15,'Area Data'!$C$21:$C$22)</c:f>
              <c:numCache>
                <c:formatCode>General</c:formatCode>
                <c:ptCount val="8"/>
                <c:pt idx="1">
                  <c:v>1</c:v>
                </c:pt>
                <c:pt idx="4">
                  <c:v>1</c:v>
                </c:pt>
                <c:pt idx="6">
                  <c:v>2</c:v>
                </c:pt>
                <c:pt idx="7">
                  <c:v>1</c:v>
                </c:pt>
              </c:numCache>
            </c:numRef>
          </c:val>
          <c:extLst>
            <c:ext xmlns:c16="http://schemas.microsoft.com/office/drawing/2014/chart" uri="{C3380CC4-5D6E-409C-BE32-E72D297353CC}">
              <c16:uniqueId val="{00000000-FA39-4911-895C-9B2B07A02B3D}"/>
            </c:ext>
          </c:extLst>
        </c:ser>
        <c:ser>
          <c:idx val="1"/>
          <c:order val="1"/>
          <c:tx>
            <c:strRef>
              <c:f>'Area Data'!$D$7</c:f>
              <c:strCache>
                <c:ptCount val="1"/>
                <c:pt idx="0">
                  <c:v>Recordable Injury</c:v>
                </c:pt>
              </c:strCache>
            </c:strRef>
          </c:tx>
          <c:spPr>
            <a:solidFill>
              <a:schemeClr val="accent2"/>
            </a:solidFill>
            <a:ln>
              <a:noFill/>
            </a:ln>
            <a:effectLst/>
          </c:spPr>
          <c:invertIfNegative val="0"/>
          <c:cat>
            <c:strRef>
              <c:extLst>
                <c:ext xmlns:c15="http://schemas.microsoft.com/office/drawing/2012/chart" uri="{02D57815-91ED-43cb-92C2-25804820EDAC}">
                  <c15:fullRef>
                    <c15:sqref>'Area Data'!$B$9:$B$22</c15:sqref>
                  </c15:fullRef>
                </c:ext>
              </c:extLst>
              <c:f>('Area Data'!$B$9:$B$12,'Area Data'!$B$14:$B$15,'Area Data'!$B$21:$B$22)</c:f>
              <c:strCache>
                <c:ptCount val="8"/>
                <c:pt idx="0">
                  <c:v>100</c:v>
                </c:pt>
                <c:pt idx="1">
                  <c:v>200</c:v>
                </c:pt>
                <c:pt idx="2">
                  <c:v>300</c:v>
                </c:pt>
                <c:pt idx="3">
                  <c:v>400</c:v>
                </c:pt>
                <c:pt idx="4">
                  <c:v>600</c:v>
                </c:pt>
                <c:pt idx="5">
                  <c:v>700</c:v>
                </c:pt>
                <c:pt idx="6">
                  <c:v>Mundy</c:v>
                </c:pt>
                <c:pt idx="7">
                  <c:v>3rd Patry</c:v>
                </c:pt>
              </c:strCache>
            </c:strRef>
          </c:cat>
          <c:val>
            <c:numRef>
              <c:extLst>
                <c:ext xmlns:c15="http://schemas.microsoft.com/office/drawing/2012/chart" uri="{02D57815-91ED-43cb-92C2-25804820EDAC}">
                  <c15:fullRef>
                    <c15:sqref>'Area Data'!$D$9:$D$22</c15:sqref>
                  </c15:fullRef>
                </c:ext>
              </c:extLst>
              <c:f>('Area Data'!$D$9:$D$12,'Area Data'!$D$14:$D$15,'Area Data'!$D$21:$D$22)</c:f>
              <c:numCache>
                <c:formatCode>0</c:formatCode>
                <c:ptCount val="8"/>
                <c:pt idx="6">
                  <c:v>1</c:v>
                </c:pt>
              </c:numCache>
            </c:numRef>
          </c:val>
          <c:extLst>
            <c:ext xmlns:c16="http://schemas.microsoft.com/office/drawing/2014/chart" uri="{C3380CC4-5D6E-409C-BE32-E72D297353CC}">
              <c16:uniqueId val="{00000001-FA39-4911-895C-9B2B07A02B3D}"/>
            </c:ext>
          </c:extLst>
        </c:ser>
        <c:ser>
          <c:idx val="2"/>
          <c:order val="2"/>
          <c:tx>
            <c:strRef>
              <c:f>'Area Data'!$E$7</c:f>
              <c:strCache>
                <c:ptCount val="1"/>
                <c:pt idx="0">
                  <c:v>Lost time injury </c:v>
                </c:pt>
              </c:strCache>
            </c:strRef>
          </c:tx>
          <c:spPr>
            <a:solidFill>
              <a:schemeClr val="accent3"/>
            </a:solidFill>
            <a:ln>
              <a:noFill/>
            </a:ln>
            <a:effectLst/>
          </c:spPr>
          <c:invertIfNegative val="0"/>
          <c:cat>
            <c:strRef>
              <c:extLst>
                <c:ext xmlns:c15="http://schemas.microsoft.com/office/drawing/2012/chart" uri="{02D57815-91ED-43cb-92C2-25804820EDAC}">
                  <c15:fullRef>
                    <c15:sqref>'Area Data'!$B$9:$B$22</c15:sqref>
                  </c15:fullRef>
                </c:ext>
              </c:extLst>
              <c:f>('Area Data'!$B$9:$B$12,'Area Data'!$B$14:$B$15,'Area Data'!$B$21:$B$22)</c:f>
              <c:strCache>
                <c:ptCount val="8"/>
                <c:pt idx="0">
                  <c:v>100</c:v>
                </c:pt>
                <c:pt idx="1">
                  <c:v>200</c:v>
                </c:pt>
                <c:pt idx="2">
                  <c:v>300</c:v>
                </c:pt>
                <c:pt idx="3">
                  <c:v>400</c:v>
                </c:pt>
                <c:pt idx="4">
                  <c:v>600</c:v>
                </c:pt>
                <c:pt idx="5">
                  <c:v>700</c:v>
                </c:pt>
                <c:pt idx="6">
                  <c:v>Mundy</c:v>
                </c:pt>
                <c:pt idx="7">
                  <c:v>3rd Patry</c:v>
                </c:pt>
              </c:strCache>
            </c:strRef>
          </c:cat>
          <c:val>
            <c:numRef>
              <c:extLst>
                <c:ext xmlns:c15="http://schemas.microsoft.com/office/drawing/2012/chart" uri="{02D57815-91ED-43cb-92C2-25804820EDAC}">
                  <c15:fullRef>
                    <c15:sqref>'Area Data'!$E$9:$E$22</c15:sqref>
                  </c15:fullRef>
                </c:ext>
              </c:extLst>
              <c:f>('Area Data'!$E$9:$E$12,'Area Data'!$E$14:$E$15,'Area Data'!$E$21:$E$22)</c:f>
              <c:numCache>
                <c:formatCode>0</c:formatCode>
                <c:ptCount val="8"/>
              </c:numCache>
            </c:numRef>
          </c:val>
          <c:extLst>
            <c:ext xmlns:c16="http://schemas.microsoft.com/office/drawing/2014/chart" uri="{C3380CC4-5D6E-409C-BE32-E72D297353CC}">
              <c16:uniqueId val="{00000002-FA39-4911-895C-9B2B07A02B3D}"/>
            </c:ext>
          </c:extLst>
        </c:ser>
        <c:ser>
          <c:idx val="3"/>
          <c:order val="3"/>
          <c:tx>
            <c:strRef>
              <c:f>'Area Data'!$F$7</c:f>
              <c:strCache>
                <c:ptCount val="1"/>
                <c:pt idx="0">
                  <c:v>Restricted</c:v>
                </c:pt>
              </c:strCache>
            </c:strRef>
          </c:tx>
          <c:spPr>
            <a:solidFill>
              <a:schemeClr val="accent4"/>
            </a:solidFill>
            <a:ln>
              <a:noFill/>
            </a:ln>
            <a:effectLst/>
          </c:spPr>
          <c:invertIfNegative val="0"/>
          <c:cat>
            <c:strRef>
              <c:extLst>
                <c:ext xmlns:c15="http://schemas.microsoft.com/office/drawing/2012/chart" uri="{02D57815-91ED-43cb-92C2-25804820EDAC}">
                  <c15:fullRef>
                    <c15:sqref>'Area Data'!$B$9:$B$22</c15:sqref>
                  </c15:fullRef>
                </c:ext>
              </c:extLst>
              <c:f>('Area Data'!$B$9:$B$12,'Area Data'!$B$14:$B$15,'Area Data'!$B$21:$B$22)</c:f>
              <c:strCache>
                <c:ptCount val="8"/>
                <c:pt idx="0">
                  <c:v>100</c:v>
                </c:pt>
                <c:pt idx="1">
                  <c:v>200</c:v>
                </c:pt>
                <c:pt idx="2">
                  <c:v>300</c:v>
                </c:pt>
                <c:pt idx="3">
                  <c:v>400</c:v>
                </c:pt>
                <c:pt idx="4">
                  <c:v>600</c:v>
                </c:pt>
                <c:pt idx="5">
                  <c:v>700</c:v>
                </c:pt>
                <c:pt idx="6">
                  <c:v>Mundy</c:v>
                </c:pt>
                <c:pt idx="7">
                  <c:v>3rd Patry</c:v>
                </c:pt>
              </c:strCache>
            </c:strRef>
          </c:cat>
          <c:val>
            <c:numRef>
              <c:extLst>
                <c:ext xmlns:c15="http://schemas.microsoft.com/office/drawing/2012/chart" uri="{02D57815-91ED-43cb-92C2-25804820EDAC}">
                  <c15:fullRef>
                    <c15:sqref>'Area Data'!$F$9:$F$22</c15:sqref>
                  </c15:fullRef>
                </c:ext>
              </c:extLst>
              <c:f>('Area Data'!$F$9:$F$12,'Area Data'!$F$14:$F$15,'Area Data'!$F$21:$F$22)</c:f>
              <c:numCache>
                <c:formatCode>General</c:formatCode>
                <c:ptCount val="8"/>
              </c:numCache>
            </c:numRef>
          </c:val>
          <c:extLst>
            <c:ext xmlns:c16="http://schemas.microsoft.com/office/drawing/2014/chart" uri="{C3380CC4-5D6E-409C-BE32-E72D297353CC}">
              <c16:uniqueId val="{00000003-FA39-4911-895C-9B2B07A02B3D}"/>
            </c:ext>
          </c:extLst>
        </c:ser>
        <c:ser>
          <c:idx val="4"/>
          <c:order val="4"/>
          <c:tx>
            <c:strRef>
              <c:f>'Area Data'!$G$7</c:f>
              <c:strCache>
                <c:ptCount val="1"/>
                <c:pt idx="0">
                  <c:v>Occupational Ilness</c:v>
                </c:pt>
              </c:strCache>
            </c:strRef>
          </c:tx>
          <c:spPr>
            <a:solidFill>
              <a:schemeClr val="accent5"/>
            </a:solidFill>
            <a:ln>
              <a:noFill/>
            </a:ln>
            <a:effectLst/>
          </c:spPr>
          <c:invertIfNegative val="0"/>
          <c:cat>
            <c:strRef>
              <c:extLst>
                <c:ext xmlns:c15="http://schemas.microsoft.com/office/drawing/2012/chart" uri="{02D57815-91ED-43cb-92C2-25804820EDAC}">
                  <c15:fullRef>
                    <c15:sqref>'Area Data'!$B$9:$B$22</c15:sqref>
                  </c15:fullRef>
                </c:ext>
              </c:extLst>
              <c:f>('Area Data'!$B$9:$B$12,'Area Data'!$B$14:$B$15,'Area Data'!$B$21:$B$22)</c:f>
              <c:strCache>
                <c:ptCount val="8"/>
                <c:pt idx="0">
                  <c:v>100</c:v>
                </c:pt>
                <c:pt idx="1">
                  <c:v>200</c:v>
                </c:pt>
                <c:pt idx="2">
                  <c:v>300</c:v>
                </c:pt>
                <c:pt idx="3">
                  <c:v>400</c:v>
                </c:pt>
                <c:pt idx="4">
                  <c:v>600</c:v>
                </c:pt>
                <c:pt idx="5">
                  <c:v>700</c:v>
                </c:pt>
                <c:pt idx="6">
                  <c:v>Mundy</c:v>
                </c:pt>
                <c:pt idx="7">
                  <c:v>3rd Patry</c:v>
                </c:pt>
              </c:strCache>
            </c:strRef>
          </c:cat>
          <c:val>
            <c:numRef>
              <c:extLst>
                <c:ext xmlns:c15="http://schemas.microsoft.com/office/drawing/2012/chart" uri="{02D57815-91ED-43cb-92C2-25804820EDAC}">
                  <c15:fullRef>
                    <c15:sqref>'Area Data'!$G$9:$G$22</c15:sqref>
                  </c15:fullRef>
                </c:ext>
              </c:extLst>
              <c:f>('Area Data'!$G$9:$G$12,'Area Data'!$G$14:$G$15,'Area Data'!$G$21:$G$22)</c:f>
              <c:numCache>
                <c:formatCode>General</c:formatCode>
                <c:ptCount val="8"/>
              </c:numCache>
            </c:numRef>
          </c:val>
          <c:extLst>
            <c:ext xmlns:c16="http://schemas.microsoft.com/office/drawing/2014/chart" uri="{C3380CC4-5D6E-409C-BE32-E72D297353CC}">
              <c16:uniqueId val="{00000004-FA39-4911-895C-9B2B07A02B3D}"/>
            </c:ext>
          </c:extLst>
        </c:ser>
        <c:ser>
          <c:idx val="5"/>
          <c:order val="5"/>
          <c:tx>
            <c:strRef>
              <c:f>'Area Data'!$I$7</c:f>
              <c:strCache>
                <c:ptCount val="1"/>
                <c:pt idx="0">
                  <c:v>Spill/ Release Release</c:v>
                </c:pt>
              </c:strCache>
            </c:strRef>
          </c:tx>
          <c:spPr>
            <a:solidFill>
              <a:schemeClr val="accent6"/>
            </a:solidFill>
            <a:ln>
              <a:noFill/>
            </a:ln>
            <a:effectLst/>
          </c:spPr>
          <c:invertIfNegative val="0"/>
          <c:cat>
            <c:strRef>
              <c:extLst>
                <c:ext xmlns:c15="http://schemas.microsoft.com/office/drawing/2012/chart" uri="{02D57815-91ED-43cb-92C2-25804820EDAC}">
                  <c15:fullRef>
                    <c15:sqref>'Area Data'!$B$9:$B$22</c15:sqref>
                  </c15:fullRef>
                </c:ext>
              </c:extLst>
              <c:f>('Area Data'!$B$9:$B$12,'Area Data'!$B$14:$B$15,'Area Data'!$B$21:$B$22)</c:f>
              <c:strCache>
                <c:ptCount val="8"/>
                <c:pt idx="0">
                  <c:v>100</c:v>
                </c:pt>
                <c:pt idx="1">
                  <c:v>200</c:v>
                </c:pt>
                <c:pt idx="2">
                  <c:v>300</c:v>
                </c:pt>
                <c:pt idx="3">
                  <c:v>400</c:v>
                </c:pt>
                <c:pt idx="4">
                  <c:v>600</c:v>
                </c:pt>
                <c:pt idx="5">
                  <c:v>700</c:v>
                </c:pt>
                <c:pt idx="6">
                  <c:v>Mundy</c:v>
                </c:pt>
                <c:pt idx="7">
                  <c:v>3rd Patry</c:v>
                </c:pt>
              </c:strCache>
            </c:strRef>
          </c:cat>
          <c:val>
            <c:numRef>
              <c:extLst>
                <c:ext xmlns:c15="http://schemas.microsoft.com/office/drawing/2012/chart" uri="{02D57815-91ED-43cb-92C2-25804820EDAC}">
                  <c15:fullRef>
                    <c15:sqref>'Area Data'!$I$9:$I$22</c15:sqref>
                  </c15:fullRef>
                </c:ext>
              </c:extLst>
              <c:f>('Area Data'!$I$9:$I$12,'Area Data'!$I$14:$I$15,'Area Data'!$I$21:$I$22)</c:f>
              <c:numCache>
                <c:formatCode>General</c:formatCode>
                <c:ptCount val="8"/>
                <c:pt idx="0">
                  <c:v>2</c:v>
                </c:pt>
                <c:pt idx="1">
                  <c:v>3</c:v>
                </c:pt>
                <c:pt idx="2">
                  <c:v>2</c:v>
                </c:pt>
                <c:pt idx="3">
                  <c:v>3</c:v>
                </c:pt>
                <c:pt idx="4">
                  <c:v>1</c:v>
                </c:pt>
                <c:pt idx="5">
                  <c:v>1</c:v>
                </c:pt>
              </c:numCache>
            </c:numRef>
          </c:val>
          <c:extLst>
            <c:ext xmlns:c16="http://schemas.microsoft.com/office/drawing/2014/chart" uri="{C3380CC4-5D6E-409C-BE32-E72D297353CC}">
              <c16:uniqueId val="{00000005-FA39-4911-895C-9B2B07A02B3D}"/>
            </c:ext>
          </c:extLst>
        </c:ser>
        <c:ser>
          <c:idx val="6"/>
          <c:order val="6"/>
          <c:tx>
            <c:strRef>
              <c:f>'Area Data'!$J$7</c:f>
              <c:strCache>
                <c:ptCount val="1"/>
                <c:pt idx="0">
                  <c:v>Fire</c:v>
                </c:pt>
              </c:strCache>
            </c:strRef>
          </c:tx>
          <c:spPr>
            <a:solidFill>
              <a:schemeClr val="accent1">
                <a:lumMod val="60000"/>
              </a:schemeClr>
            </a:solidFill>
            <a:ln>
              <a:noFill/>
            </a:ln>
            <a:effectLst/>
          </c:spPr>
          <c:invertIfNegative val="0"/>
          <c:cat>
            <c:strRef>
              <c:extLst>
                <c:ext xmlns:c15="http://schemas.microsoft.com/office/drawing/2012/chart" uri="{02D57815-91ED-43cb-92C2-25804820EDAC}">
                  <c15:fullRef>
                    <c15:sqref>'Area Data'!$B$9:$B$22</c15:sqref>
                  </c15:fullRef>
                </c:ext>
              </c:extLst>
              <c:f>('Area Data'!$B$9:$B$12,'Area Data'!$B$14:$B$15,'Area Data'!$B$21:$B$22)</c:f>
              <c:strCache>
                <c:ptCount val="8"/>
                <c:pt idx="0">
                  <c:v>100</c:v>
                </c:pt>
                <c:pt idx="1">
                  <c:v>200</c:v>
                </c:pt>
                <c:pt idx="2">
                  <c:v>300</c:v>
                </c:pt>
                <c:pt idx="3">
                  <c:v>400</c:v>
                </c:pt>
                <c:pt idx="4">
                  <c:v>600</c:v>
                </c:pt>
                <c:pt idx="5">
                  <c:v>700</c:v>
                </c:pt>
                <c:pt idx="6">
                  <c:v>Mundy</c:v>
                </c:pt>
                <c:pt idx="7">
                  <c:v>3rd Patry</c:v>
                </c:pt>
              </c:strCache>
            </c:strRef>
          </c:cat>
          <c:val>
            <c:numRef>
              <c:extLst>
                <c:ext xmlns:c15="http://schemas.microsoft.com/office/drawing/2012/chart" uri="{02D57815-91ED-43cb-92C2-25804820EDAC}">
                  <c15:fullRef>
                    <c15:sqref>'Area Data'!$J$9:$J$22</c15:sqref>
                  </c15:fullRef>
                </c:ext>
              </c:extLst>
              <c:f>('Area Data'!$J$9:$J$12,'Area Data'!$J$14:$J$15,'Area Data'!$J$21:$J$22)</c:f>
              <c:numCache>
                <c:formatCode>General</c:formatCode>
                <c:ptCount val="8"/>
                <c:pt idx="6">
                  <c:v>1</c:v>
                </c:pt>
              </c:numCache>
            </c:numRef>
          </c:val>
          <c:extLst>
            <c:ext xmlns:c16="http://schemas.microsoft.com/office/drawing/2014/chart" uri="{C3380CC4-5D6E-409C-BE32-E72D297353CC}">
              <c16:uniqueId val="{00000006-FA39-4911-895C-9B2B07A02B3D}"/>
            </c:ext>
          </c:extLst>
        </c:ser>
        <c:ser>
          <c:idx val="7"/>
          <c:order val="7"/>
          <c:tx>
            <c:strRef>
              <c:f>'Area Data'!$K$7</c:f>
              <c:strCache>
                <c:ptCount val="1"/>
                <c:pt idx="0">
                  <c:v>Powered Industrial Vehicle Accident</c:v>
                </c:pt>
              </c:strCache>
            </c:strRef>
          </c:tx>
          <c:spPr>
            <a:solidFill>
              <a:schemeClr val="accent2">
                <a:lumMod val="60000"/>
              </a:schemeClr>
            </a:solidFill>
            <a:ln>
              <a:noFill/>
            </a:ln>
            <a:effectLst/>
          </c:spPr>
          <c:invertIfNegative val="0"/>
          <c:cat>
            <c:strRef>
              <c:extLst>
                <c:ext xmlns:c15="http://schemas.microsoft.com/office/drawing/2012/chart" uri="{02D57815-91ED-43cb-92C2-25804820EDAC}">
                  <c15:fullRef>
                    <c15:sqref>'Area Data'!$B$9:$B$22</c15:sqref>
                  </c15:fullRef>
                </c:ext>
              </c:extLst>
              <c:f>('Area Data'!$B$9:$B$12,'Area Data'!$B$14:$B$15,'Area Data'!$B$21:$B$22)</c:f>
              <c:strCache>
                <c:ptCount val="8"/>
                <c:pt idx="0">
                  <c:v>100</c:v>
                </c:pt>
                <c:pt idx="1">
                  <c:v>200</c:v>
                </c:pt>
                <c:pt idx="2">
                  <c:v>300</c:v>
                </c:pt>
                <c:pt idx="3">
                  <c:v>400</c:v>
                </c:pt>
                <c:pt idx="4">
                  <c:v>600</c:v>
                </c:pt>
                <c:pt idx="5">
                  <c:v>700</c:v>
                </c:pt>
                <c:pt idx="6">
                  <c:v>Mundy</c:v>
                </c:pt>
                <c:pt idx="7">
                  <c:v>3rd Patry</c:v>
                </c:pt>
              </c:strCache>
            </c:strRef>
          </c:cat>
          <c:val>
            <c:numRef>
              <c:extLst>
                <c:ext xmlns:c15="http://schemas.microsoft.com/office/drawing/2012/chart" uri="{02D57815-91ED-43cb-92C2-25804820EDAC}">
                  <c15:fullRef>
                    <c15:sqref>'Area Data'!$K$9:$K$22</c15:sqref>
                  </c15:fullRef>
                </c:ext>
              </c:extLst>
              <c:f>('Area Data'!$K$9:$K$12,'Area Data'!$K$14:$K$15,'Area Data'!$K$21:$K$22)</c:f>
              <c:numCache>
                <c:formatCode>General</c:formatCode>
                <c:ptCount val="8"/>
                <c:pt idx="6">
                  <c:v>8</c:v>
                </c:pt>
              </c:numCache>
            </c:numRef>
          </c:val>
          <c:extLst>
            <c:ext xmlns:c16="http://schemas.microsoft.com/office/drawing/2014/chart" uri="{C3380CC4-5D6E-409C-BE32-E72D297353CC}">
              <c16:uniqueId val="{00000007-FA39-4911-895C-9B2B07A02B3D}"/>
            </c:ext>
          </c:extLst>
        </c:ser>
        <c:ser>
          <c:idx val="8"/>
          <c:order val="8"/>
          <c:tx>
            <c:strRef>
              <c:f>'Area Data'!$L$7</c:f>
              <c:strCache>
                <c:ptCount val="1"/>
                <c:pt idx="0">
                  <c:v>Property/ Equipment Damage</c:v>
                </c:pt>
              </c:strCache>
            </c:strRef>
          </c:tx>
          <c:spPr>
            <a:solidFill>
              <a:schemeClr val="accent3">
                <a:lumMod val="60000"/>
              </a:schemeClr>
            </a:solidFill>
            <a:ln>
              <a:noFill/>
            </a:ln>
            <a:effectLst/>
          </c:spPr>
          <c:invertIfNegative val="0"/>
          <c:cat>
            <c:strRef>
              <c:extLst>
                <c:ext xmlns:c15="http://schemas.microsoft.com/office/drawing/2012/chart" uri="{02D57815-91ED-43cb-92C2-25804820EDAC}">
                  <c15:fullRef>
                    <c15:sqref>'Area Data'!$B$9:$B$22</c15:sqref>
                  </c15:fullRef>
                </c:ext>
              </c:extLst>
              <c:f>('Area Data'!$B$9:$B$12,'Area Data'!$B$14:$B$15,'Area Data'!$B$21:$B$22)</c:f>
              <c:strCache>
                <c:ptCount val="8"/>
                <c:pt idx="0">
                  <c:v>100</c:v>
                </c:pt>
                <c:pt idx="1">
                  <c:v>200</c:v>
                </c:pt>
                <c:pt idx="2">
                  <c:v>300</c:v>
                </c:pt>
                <c:pt idx="3">
                  <c:v>400</c:v>
                </c:pt>
                <c:pt idx="4">
                  <c:v>600</c:v>
                </c:pt>
                <c:pt idx="5">
                  <c:v>700</c:v>
                </c:pt>
                <c:pt idx="6">
                  <c:v>Mundy</c:v>
                </c:pt>
                <c:pt idx="7">
                  <c:v>3rd Patry</c:v>
                </c:pt>
              </c:strCache>
            </c:strRef>
          </c:cat>
          <c:val>
            <c:numRef>
              <c:extLst>
                <c:ext xmlns:c15="http://schemas.microsoft.com/office/drawing/2012/chart" uri="{02D57815-91ED-43cb-92C2-25804820EDAC}">
                  <c15:fullRef>
                    <c15:sqref>'Area Data'!$L$9:$L$21</c15:sqref>
                  </c15:fullRef>
                </c:ext>
              </c:extLst>
              <c:f>('Area Data'!$L$9:$L$12,'Area Data'!$L$14:$L$15,'Area Data'!$L$21)</c:f>
              <c:numCache>
                <c:formatCode>General</c:formatCode>
                <c:ptCount val="7"/>
                <c:pt idx="3">
                  <c:v>1</c:v>
                </c:pt>
                <c:pt idx="4">
                  <c:v>1</c:v>
                </c:pt>
                <c:pt idx="6">
                  <c:v>7</c:v>
                </c:pt>
              </c:numCache>
            </c:numRef>
          </c:val>
          <c:extLst>
            <c:ext xmlns:c16="http://schemas.microsoft.com/office/drawing/2014/chart" uri="{C3380CC4-5D6E-409C-BE32-E72D297353CC}">
              <c16:uniqueId val="{00000008-FA39-4911-895C-9B2B07A02B3D}"/>
            </c:ext>
          </c:extLst>
        </c:ser>
        <c:ser>
          <c:idx val="9"/>
          <c:order val="9"/>
          <c:tx>
            <c:strRef>
              <c:f>'Area Data'!$M$7</c:f>
              <c:strCache>
                <c:ptCount val="1"/>
                <c:pt idx="0">
                  <c:v>Equipment Failure </c:v>
                </c:pt>
              </c:strCache>
            </c:strRef>
          </c:tx>
          <c:spPr>
            <a:solidFill>
              <a:schemeClr val="accent4">
                <a:lumMod val="60000"/>
              </a:schemeClr>
            </a:solidFill>
            <a:ln>
              <a:noFill/>
            </a:ln>
            <a:effectLst/>
          </c:spPr>
          <c:invertIfNegative val="0"/>
          <c:cat>
            <c:strRef>
              <c:extLst>
                <c:ext xmlns:c15="http://schemas.microsoft.com/office/drawing/2012/chart" uri="{02D57815-91ED-43cb-92C2-25804820EDAC}">
                  <c15:fullRef>
                    <c15:sqref>'Area Data'!$B$9:$B$22</c15:sqref>
                  </c15:fullRef>
                </c:ext>
              </c:extLst>
              <c:f>('Area Data'!$B$9:$B$12,'Area Data'!$B$14:$B$15,'Area Data'!$B$21:$B$22)</c:f>
              <c:strCache>
                <c:ptCount val="8"/>
                <c:pt idx="0">
                  <c:v>100</c:v>
                </c:pt>
                <c:pt idx="1">
                  <c:v>200</c:v>
                </c:pt>
                <c:pt idx="2">
                  <c:v>300</c:v>
                </c:pt>
                <c:pt idx="3">
                  <c:v>400</c:v>
                </c:pt>
                <c:pt idx="4">
                  <c:v>600</c:v>
                </c:pt>
                <c:pt idx="5">
                  <c:v>700</c:v>
                </c:pt>
                <c:pt idx="6">
                  <c:v>Mundy</c:v>
                </c:pt>
                <c:pt idx="7">
                  <c:v>3rd Patry</c:v>
                </c:pt>
              </c:strCache>
            </c:strRef>
          </c:cat>
          <c:val>
            <c:numRef>
              <c:extLst>
                <c:ext xmlns:c15="http://schemas.microsoft.com/office/drawing/2012/chart" uri="{02D57815-91ED-43cb-92C2-25804820EDAC}">
                  <c15:fullRef>
                    <c15:sqref>'Area Data'!$M$9:$M$22</c15:sqref>
                  </c15:fullRef>
                </c:ext>
              </c:extLst>
              <c:f>('Area Data'!$M$9:$M$12,'Area Data'!$M$14:$M$15,'Area Data'!$M$21:$M$22)</c:f>
              <c:numCache>
                <c:formatCode>General</c:formatCode>
                <c:ptCount val="8"/>
              </c:numCache>
            </c:numRef>
          </c:val>
          <c:extLst>
            <c:ext xmlns:c16="http://schemas.microsoft.com/office/drawing/2014/chart" uri="{C3380CC4-5D6E-409C-BE32-E72D297353CC}">
              <c16:uniqueId val="{00000009-FA39-4911-895C-9B2B07A02B3D}"/>
            </c:ext>
          </c:extLst>
        </c:ser>
        <c:ser>
          <c:idx val="10"/>
          <c:order val="10"/>
          <c:tx>
            <c:strRef>
              <c:f>'Area Data'!$O$7</c:f>
              <c:strCache>
                <c:ptCount val="1"/>
                <c:pt idx="0">
                  <c:v>Regulatory </c:v>
                </c:pt>
              </c:strCache>
            </c:strRef>
          </c:tx>
          <c:spPr>
            <a:solidFill>
              <a:schemeClr val="accent5">
                <a:lumMod val="60000"/>
              </a:schemeClr>
            </a:solidFill>
            <a:ln>
              <a:noFill/>
            </a:ln>
            <a:effectLst/>
          </c:spPr>
          <c:invertIfNegative val="0"/>
          <c:cat>
            <c:strRef>
              <c:extLst>
                <c:ext xmlns:c15="http://schemas.microsoft.com/office/drawing/2012/chart" uri="{02D57815-91ED-43cb-92C2-25804820EDAC}">
                  <c15:fullRef>
                    <c15:sqref>'Area Data'!$B$9:$B$22</c15:sqref>
                  </c15:fullRef>
                </c:ext>
              </c:extLst>
              <c:f>('Area Data'!$B$9:$B$12,'Area Data'!$B$14:$B$15,'Area Data'!$B$21:$B$22)</c:f>
              <c:strCache>
                <c:ptCount val="8"/>
                <c:pt idx="0">
                  <c:v>100</c:v>
                </c:pt>
                <c:pt idx="1">
                  <c:v>200</c:v>
                </c:pt>
                <c:pt idx="2">
                  <c:v>300</c:v>
                </c:pt>
                <c:pt idx="3">
                  <c:v>400</c:v>
                </c:pt>
                <c:pt idx="4">
                  <c:v>600</c:v>
                </c:pt>
                <c:pt idx="5">
                  <c:v>700</c:v>
                </c:pt>
                <c:pt idx="6">
                  <c:v>Mundy</c:v>
                </c:pt>
                <c:pt idx="7">
                  <c:v>3rd Patry</c:v>
                </c:pt>
              </c:strCache>
            </c:strRef>
          </c:cat>
          <c:val>
            <c:numRef>
              <c:extLst>
                <c:ext xmlns:c15="http://schemas.microsoft.com/office/drawing/2012/chart" uri="{02D57815-91ED-43cb-92C2-25804820EDAC}">
                  <c15:fullRef>
                    <c15:sqref>'Area Data'!$O$8:$O$19</c15:sqref>
                  </c15:fullRef>
                </c:ext>
              </c:extLst>
              <c:f>('Area Data'!$O$8:$O$11,'Area Data'!$O$13:$O$14)</c:f>
              <c:numCache>
                <c:formatCode>General</c:formatCode>
                <c:ptCount val="6"/>
              </c:numCache>
            </c:numRef>
          </c:val>
          <c:extLst>
            <c:ext xmlns:c16="http://schemas.microsoft.com/office/drawing/2014/chart" uri="{C3380CC4-5D6E-409C-BE32-E72D297353CC}">
              <c16:uniqueId val="{0000000A-FA39-4911-895C-9B2B07A02B3D}"/>
            </c:ext>
          </c:extLst>
        </c:ser>
        <c:ser>
          <c:idx val="11"/>
          <c:order val="11"/>
          <c:tx>
            <c:strRef>
              <c:f>'Area Data'!$P$7</c:f>
              <c:strCache>
                <c:ptCount val="1"/>
                <c:pt idx="0">
                  <c:v>PSIF</c:v>
                </c:pt>
              </c:strCache>
            </c:strRef>
          </c:tx>
          <c:spPr>
            <a:solidFill>
              <a:schemeClr val="accent6">
                <a:lumMod val="60000"/>
              </a:schemeClr>
            </a:solidFill>
            <a:ln>
              <a:noFill/>
            </a:ln>
            <a:effectLst/>
          </c:spPr>
          <c:invertIfNegative val="0"/>
          <c:cat>
            <c:strRef>
              <c:extLst>
                <c:ext xmlns:c15="http://schemas.microsoft.com/office/drawing/2012/chart" uri="{02D57815-91ED-43cb-92C2-25804820EDAC}">
                  <c15:fullRef>
                    <c15:sqref>'Area Data'!$B$9:$B$22</c15:sqref>
                  </c15:fullRef>
                </c:ext>
              </c:extLst>
              <c:f>('Area Data'!$B$9:$B$12,'Area Data'!$B$14:$B$15,'Area Data'!$B$21:$B$22)</c:f>
              <c:strCache>
                <c:ptCount val="8"/>
                <c:pt idx="0">
                  <c:v>100</c:v>
                </c:pt>
                <c:pt idx="1">
                  <c:v>200</c:v>
                </c:pt>
                <c:pt idx="2">
                  <c:v>300</c:v>
                </c:pt>
                <c:pt idx="3">
                  <c:v>400</c:v>
                </c:pt>
                <c:pt idx="4">
                  <c:v>600</c:v>
                </c:pt>
                <c:pt idx="5">
                  <c:v>700</c:v>
                </c:pt>
                <c:pt idx="6">
                  <c:v>Mundy</c:v>
                </c:pt>
                <c:pt idx="7">
                  <c:v>3rd Patry</c:v>
                </c:pt>
              </c:strCache>
            </c:strRef>
          </c:cat>
          <c:val>
            <c:numRef>
              <c:extLst>
                <c:ext xmlns:c15="http://schemas.microsoft.com/office/drawing/2012/chart" uri="{02D57815-91ED-43cb-92C2-25804820EDAC}">
                  <c15:fullRef>
                    <c15:sqref>'Area Data'!$P$9:$P$22</c15:sqref>
                  </c15:fullRef>
                </c:ext>
              </c:extLst>
              <c:f>('Area Data'!$P$9:$P$12,'Area Data'!$P$14:$P$15,'Area Data'!$P$21:$P$22)</c:f>
              <c:numCache>
                <c:formatCode>General</c:formatCode>
                <c:ptCount val="8"/>
                <c:pt idx="5">
                  <c:v>1</c:v>
                </c:pt>
                <c:pt idx="6">
                  <c:v>4</c:v>
                </c:pt>
              </c:numCache>
            </c:numRef>
          </c:val>
          <c:extLst>
            <c:ext xmlns:c16="http://schemas.microsoft.com/office/drawing/2014/chart" uri="{C3380CC4-5D6E-409C-BE32-E72D297353CC}">
              <c16:uniqueId val="{0000000B-FA39-4911-895C-9B2B07A02B3D}"/>
            </c:ext>
          </c:extLst>
        </c:ser>
        <c:ser>
          <c:idx val="12"/>
          <c:order val="12"/>
          <c:tx>
            <c:strRef>
              <c:f>'Area Data'!$H$7</c:f>
              <c:strCache>
                <c:ptCount val="1"/>
                <c:pt idx="0">
                  <c:v>Hazardous Condition</c:v>
                </c:pt>
              </c:strCache>
            </c:strRef>
          </c:tx>
          <c:spPr>
            <a:solidFill>
              <a:schemeClr val="accent1">
                <a:lumMod val="80000"/>
                <a:lumOff val="20000"/>
              </a:schemeClr>
            </a:solidFill>
            <a:ln>
              <a:noFill/>
            </a:ln>
            <a:effectLst/>
          </c:spPr>
          <c:invertIfNegative val="0"/>
          <c:cat>
            <c:strRef>
              <c:extLst>
                <c:ext xmlns:c15="http://schemas.microsoft.com/office/drawing/2012/chart" uri="{02D57815-91ED-43cb-92C2-25804820EDAC}">
                  <c15:fullRef>
                    <c15:sqref>'Area Data'!$B$9:$B$22</c15:sqref>
                  </c15:fullRef>
                </c:ext>
              </c:extLst>
              <c:f>('Area Data'!$B$9:$B$12,'Area Data'!$B$14:$B$15,'Area Data'!$B$21:$B$22)</c:f>
              <c:strCache>
                <c:ptCount val="8"/>
                <c:pt idx="0">
                  <c:v>100</c:v>
                </c:pt>
                <c:pt idx="1">
                  <c:v>200</c:v>
                </c:pt>
                <c:pt idx="2">
                  <c:v>300</c:v>
                </c:pt>
                <c:pt idx="3">
                  <c:v>400</c:v>
                </c:pt>
                <c:pt idx="4">
                  <c:v>600</c:v>
                </c:pt>
                <c:pt idx="5">
                  <c:v>700</c:v>
                </c:pt>
                <c:pt idx="6">
                  <c:v>Mundy</c:v>
                </c:pt>
                <c:pt idx="7">
                  <c:v>3rd Patry</c:v>
                </c:pt>
              </c:strCache>
            </c:strRef>
          </c:cat>
          <c:val>
            <c:numRef>
              <c:extLst>
                <c:ext xmlns:c15="http://schemas.microsoft.com/office/drawing/2012/chart" uri="{02D57815-91ED-43cb-92C2-25804820EDAC}">
                  <c15:fullRef>
                    <c15:sqref>'Area Data'!$H$9:$H$22</c15:sqref>
                  </c15:fullRef>
                </c:ext>
              </c:extLst>
              <c:f>('Area Data'!$H$9:$H$12,'Area Data'!$H$14:$H$15,'Area Data'!$H$21:$H$22)</c:f>
              <c:numCache>
                <c:formatCode>General</c:formatCode>
                <c:ptCount val="8"/>
                <c:pt idx="5">
                  <c:v>1</c:v>
                </c:pt>
                <c:pt idx="7">
                  <c:v>2</c:v>
                </c:pt>
              </c:numCache>
            </c:numRef>
          </c:val>
          <c:extLst>
            <c:ext xmlns:c16="http://schemas.microsoft.com/office/drawing/2014/chart" uri="{C3380CC4-5D6E-409C-BE32-E72D297353CC}">
              <c16:uniqueId val="{00000000-1D27-45A6-9836-577F9826623E}"/>
            </c:ext>
          </c:extLst>
        </c:ser>
        <c:dLbls>
          <c:showLegendKey val="0"/>
          <c:showVal val="0"/>
          <c:showCatName val="0"/>
          <c:showSerName val="0"/>
          <c:showPercent val="0"/>
          <c:showBubbleSize val="0"/>
        </c:dLbls>
        <c:gapWidth val="219"/>
        <c:overlap val="-27"/>
        <c:axId val="1124751519"/>
        <c:axId val="1124749599"/>
      </c:barChart>
      <c:catAx>
        <c:axId val="1124751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749599"/>
        <c:crosses val="autoZero"/>
        <c:auto val="1"/>
        <c:lblAlgn val="ctr"/>
        <c:lblOffset val="100"/>
        <c:noMultiLvlLbl val="0"/>
      </c:catAx>
      <c:valAx>
        <c:axId val="11247495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7515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Property</a:t>
            </a:r>
            <a:r>
              <a:rPr lang="en-US" baseline="0"/>
              <a:t> Damage YR26</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'Incident Data'!$AH$116</c:f>
              <c:strCache>
                <c:ptCount val="1"/>
                <c:pt idx="0">
                  <c:v>Equipment Failure</c:v>
                </c:pt>
              </c:strCache>
            </c:strRef>
          </c:tx>
          <c:spPr>
            <a:solidFill>
              <a:schemeClr val="bg2">
                <a:lumMod val="50000"/>
              </a:schemeClr>
            </a:solidFill>
            <a:ln>
              <a:solidFill>
                <a:schemeClr val="bg2">
                  <a:lumMod val="50000"/>
                </a:schemeClr>
              </a:solid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0-C52E-482B-A2D2-BD2EAC5D2816}"/>
                </c:ext>
              </c:extLst>
            </c:dLbl>
            <c:dLbl>
              <c:idx val="1"/>
              <c:delete val="1"/>
              <c:extLst>
                <c:ext xmlns:c15="http://schemas.microsoft.com/office/drawing/2012/chart" uri="{CE6537A1-D6FC-4f65-9D91-7224C49458BB}"/>
                <c:ext xmlns:c16="http://schemas.microsoft.com/office/drawing/2014/chart" uri="{C3380CC4-5D6E-409C-BE32-E72D297353CC}">
                  <c16:uniqueId val="{00000001-C52E-482B-A2D2-BD2EAC5D2816}"/>
                </c:ext>
              </c:extLst>
            </c:dLbl>
            <c:dLbl>
              <c:idx val="2"/>
              <c:delete val="1"/>
              <c:extLst>
                <c:ext xmlns:c15="http://schemas.microsoft.com/office/drawing/2012/chart" uri="{CE6537A1-D6FC-4f65-9D91-7224C49458BB}"/>
                <c:ext xmlns:c16="http://schemas.microsoft.com/office/drawing/2014/chart" uri="{C3380CC4-5D6E-409C-BE32-E72D297353CC}">
                  <c16:uniqueId val="{00000003-C52E-482B-A2D2-BD2EAC5D2816}"/>
                </c:ext>
              </c:extLst>
            </c:dLbl>
            <c:dLbl>
              <c:idx val="3"/>
              <c:delete val="1"/>
              <c:extLst>
                <c:ext xmlns:c15="http://schemas.microsoft.com/office/drawing/2012/chart" uri="{CE6537A1-D6FC-4f65-9D91-7224C49458BB}"/>
                <c:ext xmlns:c16="http://schemas.microsoft.com/office/drawing/2014/chart" uri="{C3380CC4-5D6E-409C-BE32-E72D297353CC}">
                  <c16:uniqueId val="{00000004-C52E-482B-A2D2-BD2EAC5D2816}"/>
                </c:ext>
              </c:extLst>
            </c:dLbl>
            <c:dLbl>
              <c:idx val="4"/>
              <c:delete val="1"/>
              <c:extLst>
                <c:ext xmlns:c15="http://schemas.microsoft.com/office/drawing/2012/chart" uri="{CE6537A1-D6FC-4f65-9D91-7224C49458BB}"/>
                <c:ext xmlns:c16="http://schemas.microsoft.com/office/drawing/2014/chart" uri="{C3380CC4-5D6E-409C-BE32-E72D297353CC}">
                  <c16:uniqueId val="{00000005-C52E-482B-A2D2-BD2EAC5D2816}"/>
                </c:ext>
              </c:extLst>
            </c:dLbl>
            <c:dLbl>
              <c:idx val="6"/>
              <c:delete val="1"/>
              <c:extLst>
                <c:ext xmlns:c15="http://schemas.microsoft.com/office/drawing/2012/chart" uri="{CE6537A1-D6FC-4f65-9D91-7224C49458BB}"/>
                <c:ext xmlns:c16="http://schemas.microsoft.com/office/drawing/2014/chart" uri="{C3380CC4-5D6E-409C-BE32-E72D297353CC}">
                  <c16:uniqueId val="{00000006-C52E-482B-A2D2-BD2EAC5D2816}"/>
                </c:ext>
              </c:extLst>
            </c:dLbl>
            <c:dLbl>
              <c:idx val="7"/>
              <c:delete val="1"/>
              <c:extLst>
                <c:ext xmlns:c15="http://schemas.microsoft.com/office/drawing/2012/chart" uri="{CE6537A1-D6FC-4f65-9D91-7224C49458BB}"/>
                <c:ext xmlns:c16="http://schemas.microsoft.com/office/drawing/2014/chart" uri="{C3380CC4-5D6E-409C-BE32-E72D297353CC}">
                  <c16:uniqueId val="{00000007-C52E-482B-A2D2-BD2EAC5D2816}"/>
                </c:ext>
              </c:extLst>
            </c:dLbl>
            <c:dLbl>
              <c:idx val="8"/>
              <c:delete val="1"/>
              <c:extLst>
                <c:ext xmlns:c15="http://schemas.microsoft.com/office/drawing/2012/chart" uri="{CE6537A1-D6FC-4f65-9D91-7224C49458BB}"/>
                <c:ext xmlns:c16="http://schemas.microsoft.com/office/drawing/2014/chart" uri="{C3380CC4-5D6E-409C-BE32-E72D297353CC}">
                  <c16:uniqueId val="{00000008-C52E-482B-A2D2-BD2EAC5D2816}"/>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extLst>
          </c:dLbls>
          <c:cat>
            <c:strRef>
              <c:extLst>
                <c:ext xmlns:c15="http://schemas.microsoft.com/office/drawing/2012/chart" uri="{02D57815-91ED-43cb-92C2-25804820EDAC}">
                  <c15:fullRef>
                    <c15:sqref>'Incident Data'!$AI$115:$AT$115</c15:sqref>
                  </c15:fullRef>
                </c:ext>
              </c:extLst>
              <c:f>'Incident Data'!$AI$115:$AR$115</c:f>
              <c:strCache>
                <c:ptCount val="10"/>
                <c:pt idx="0">
                  <c:v>Jan</c:v>
                </c:pt>
                <c:pt idx="1">
                  <c:v>Feb</c:v>
                </c:pt>
                <c:pt idx="2">
                  <c:v>Mar</c:v>
                </c:pt>
                <c:pt idx="3">
                  <c:v>Apr</c:v>
                </c:pt>
                <c:pt idx="4">
                  <c:v>May</c:v>
                </c:pt>
                <c:pt idx="5">
                  <c:v>Jun</c:v>
                </c:pt>
                <c:pt idx="6">
                  <c:v>Jul</c:v>
                </c:pt>
                <c:pt idx="7">
                  <c:v>Aug</c:v>
                </c:pt>
                <c:pt idx="8">
                  <c:v>Sep</c:v>
                </c:pt>
                <c:pt idx="9">
                  <c:v>Oct</c:v>
                </c:pt>
              </c:strCache>
            </c:strRef>
          </c:cat>
          <c:val>
            <c:numRef>
              <c:extLst>
                <c:ext xmlns:c15="http://schemas.microsoft.com/office/drawing/2012/chart" uri="{02D57815-91ED-43cb-92C2-25804820EDAC}">
                  <c15:fullRef>
                    <c15:sqref>'Incident Data'!$AI$116:$AT$116</c15:sqref>
                  </c15:fullRef>
                </c:ext>
              </c:extLst>
              <c:f>'Incident Data'!$AI$116:$AR$116</c:f>
              <c:numCache>
                <c:formatCode>General</c:formatCode>
                <c:ptCount val="10"/>
                <c:pt idx="0">
                  <c:v>0</c:v>
                </c:pt>
                <c:pt idx="1">
                  <c:v>0</c:v>
                </c:pt>
                <c:pt idx="2">
                  <c:v>1</c:v>
                </c:pt>
                <c:pt idx="3">
                  <c:v>4</c:v>
                </c:pt>
                <c:pt idx="4">
                  <c:v>0</c:v>
                </c:pt>
                <c:pt idx="5">
                  <c:v>2</c:v>
                </c:pt>
                <c:pt idx="6">
                  <c:v>0</c:v>
                </c:pt>
                <c:pt idx="7">
                  <c:v>0</c:v>
                </c:pt>
                <c:pt idx="8">
                  <c:v>1</c:v>
                </c:pt>
                <c:pt idx="9">
                  <c:v>0</c:v>
                </c:pt>
              </c:numCache>
            </c:numRef>
          </c:val>
          <c:extLst>
            <c:ext xmlns:c15="http://schemas.microsoft.com/office/drawing/2012/chart" uri="{02D57815-91ED-43cb-92C2-25804820EDAC}">
              <c15:categoryFilterExceptions>
                <c15:categoryFilterException>
                  <c15:sqref>'Incident Data'!$AS$116</c15:sqref>
                  <c15:dLbl>
                    <c:idx val="9"/>
                    <c:delete val="1"/>
                    <c:extLst>
                      <c:ext uri="{CE6537A1-D6FC-4f65-9D91-7224C49458BB}"/>
                      <c:ext xmlns:c16="http://schemas.microsoft.com/office/drawing/2014/chart" uri="{C3380CC4-5D6E-409C-BE32-E72D297353CC}">
                        <c16:uniqueId val="{00000000-3D5D-4DF7-8148-B3B47468B9BA}"/>
                      </c:ext>
                    </c:extLst>
                  </c15:dLbl>
                </c15:categoryFilterException>
                <c15:categoryFilterException>
                  <c15:sqref>'Incident Data'!$AT$116</c15:sqref>
                  <c15:dLbl>
                    <c:idx val="9"/>
                    <c:delete val="1"/>
                    <c:extLst>
                      <c:ext uri="{CE6537A1-D6FC-4f65-9D91-7224C49458BB}"/>
                      <c:ext xmlns:c16="http://schemas.microsoft.com/office/drawing/2014/chart" uri="{C3380CC4-5D6E-409C-BE32-E72D297353CC}">
                        <c16:uniqueId val="{00000001-3D5D-4DF7-8148-B3B47468B9BA}"/>
                      </c:ext>
                    </c:extLst>
                  </c15:dLbl>
                </c15:categoryFilterException>
              </c15:categoryFilterExceptions>
            </c:ext>
            <c:ext xmlns:c16="http://schemas.microsoft.com/office/drawing/2014/chart" uri="{C3380CC4-5D6E-409C-BE32-E72D297353CC}">
              <c16:uniqueId val="{00000000-DF55-443F-B1D0-6AEF4E4AE8B4}"/>
            </c:ext>
          </c:extLst>
        </c:ser>
        <c:ser>
          <c:idx val="1"/>
          <c:order val="1"/>
          <c:tx>
            <c:strRef>
              <c:f>'Incident Data'!$AH$117</c:f>
              <c:strCache>
                <c:ptCount val="1"/>
                <c:pt idx="0">
                  <c:v>Property Damage </c:v>
                </c:pt>
              </c:strCache>
            </c:strRef>
          </c:tx>
          <c:spPr>
            <a:solidFill>
              <a:srgbClr val="FFC000"/>
            </a:solidFill>
            <a:ln>
              <a:solidFill>
                <a:srgbClr val="FFC000"/>
              </a:solidFill>
            </a:ln>
            <a:effectLst/>
          </c:spPr>
          <c:invertIfNegative val="0"/>
          <c:dLbls>
            <c:dLbl>
              <c:idx val="1"/>
              <c:delete val="1"/>
              <c:extLst>
                <c:ext xmlns:c15="http://schemas.microsoft.com/office/drawing/2012/chart" uri="{CE6537A1-D6FC-4f65-9D91-7224C49458BB}"/>
                <c:ext xmlns:c16="http://schemas.microsoft.com/office/drawing/2014/chart" uri="{C3380CC4-5D6E-409C-BE32-E72D297353CC}">
                  <c16:uniqueId val="{00000002-C52E-482B-A2D2-BD2EAC5D2816}"/>
                </c:ext>
              </c:extLst>
            </c:dLbl>
            <c:dLbl>
              <c:idx val="9"/>
              <c:delete val="1"/>
              <c:extLst>
                <c:ext xmlns:c15="http://schemas.microsoft.com/office/drawing/2012/chart" uri="{CE6537A1-D6FC-4f65-9D91-7224C49458BB}"/>
                <c:ext xmlns:c16="http://schemas.microsoft.com/office/drawing/2014/chart" uri="{C3380CC4-5D6E-409C-BE32-E72D297353CC}">
                  <c16:uniqueId val="{00000009-C52E-482B-A2D2-BD2EAC5D2816}"/>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'Incident Data'!$AI$115:$AT$115</c15:sqref>
                  </c15:fullRef>
                </c:ext>
              </c:extLst>
              <c:f>'Incident Data'!$AI$115:$AR$115</c:f>
              <c:strCache>
                <c:ptCount val="10"/>
                <c:pt idx="0">
                  <c:v>Jan</c:v>
                </c:pt>
                <c:pt idx="1">
                  <c:v>Feb</c:v>
                </c:pt>
                <c:pt idx="2">
                  <c:v>Mar</c:v>
                </c:pt>
                <c:pt idx="3">
                  <c:v>Apr</c:v>
                </c:pt>
                <c:pt idx="4">
                  <c:v>May</c:v>
                </c:pt>
                <c:pt idx="5">
                  <c:v>Jun</c:v>
                </c:pt>
                <c:pt idx="6">
                  <c:v>Jul</c:v>
                </c:pt>
                <c:pt idx="7">
                  <c:v>Aug</c:v>
                </c:pt>
                <c:pt idx="8">
                  <c:v>Sep</c:v>
                </c:pt>
                <c:pt idx="9">
                  <c:v>Oct</c:v>
                </c:pt>
              </c:strCache>
            </c:strRef>
          </c:cat>
          <c:val>
            <c:numRef>
              <c:extLst>
                <c:ext xmlns:c15="http://schemas.microsoft.com/office/drawing/2012/chart" uri="{02D57815-91ED-43cb-92C2-25804820EDAC}">
                  <c15:fullRef>
                    <c15:sqref>'Incident Data'!$AI$117:$AT$117</c15:sqref>
                  </c15:fullRef>
                </c:ext>
              </c:extLst>
              <c:f>'Incident Data'!$AI$117:$AR$117</c:f>
              <c:numCache>
                <c:formatCode>General</c:formatCode>
                <c:ptCount val="10"/>
                <c:pt idx="0">
                  <c:v>1</c:v>
                </c:pt>
                <c:pt idx="1">
                  <c:v>1</c:v>
                </c:pt>
                <c:pt idx="2">
                  <c:v>0</c:v>
                </c:pt>
                <c:pt idx="3">
                  <c:v>0</c:v>
                </c:pt>
                <c:pt idx="4">
                  <c:v>2</c:v>
                </c:pt>
                <c:pt idx="5">
                  <c:v>0</c:v>
                </c:pt>
                <c:pt idx="6">
                  <c:v>2</c:v>
                </c:pt>
                <c:pt idx="7">
                  <c:v>0</c:v>
                </c:pt>
                <c:pt idx="8">
                  <c:v>0</c:v>
                </c:pt>
                <c:pt idx="9">
                  <c:v>0</c:v>
                </c:pt>
              </c:numCache>
            </c:numRef>
          </c:val>
          <c:extLst>
            <c:ext xmlns:c15="http://schemas.microsoft.com/office/drawing/2012/chart" uri="{02D57815-91ED-43cb-92C2-25804820EDAC}">
              <c15:categoryFilterExceptions>
                <c15:categoryFilterException>
                  <c15:sqref>'Incident Data'!$AS$117</c15:sqref>
                  <c15:dLbl>
                    <c:idx val="9"/>
                    <c:delete val="1"/>
                    <c:extLst>
                      <c:ext uri="{CE6537A1-D6FC-4f65-9D91-7224C49458BB}"/>
                      <c:ext xmlns:c16="http://schemas.microsoft.com/office/drawing/2014/chart" uri="{C3380CC4-5D6E-409C-BE32-E72D297353CC}">
                        <c16:uniqueId val="{00000002-3D5D-4DF7-8148-B3B47468B9BA}"/>
                      </c:ext>
                    </c:extLst>
                  </c15:dLbl>
                </c15:categoryFilterException>
                <c15:categoryFilterException>
                  <c15:sqref>'Incident Data'!$AT$117</c15:sqref>
                  <c15:dLbl>
                    <c:idx val="9"/>
                    <c:delete val="1"/>
                    <c:extLst>
                      <c:ext uri="{CE6537A1-D6FC-4f65-9D91-7224C49458BB}"/>
                      <c:ext xmlns:c16="http://schemas.microsoft.com/office/drawing/2014/chart" uri="{C3380CC4-5D6E-409C-BE32-E72D297353CC}">
                        <c16:uniqueId val="{00000003-3D5D-4DF7-8148-B3B47468B9BA}"/>
                      </c:ext>
                    </c:extLst>
                  </c15:dLbl>
                </c15:categoryFilterException>
              </c15:categoryFilterExceptions>
            </c:ext>
            <c:ext xmlns:c16="http://schemas.microsoft.com/office/drawing/2014/chart" uri="{C3380CC4-5D6E-409C-BE32-E72D297353CC}">
              <c16:uniqueId val="{00000001-DF55-443F-B1D0-6AEF4E4AE8B4}"/>
            </c:ext>
          </c:extLst>
        </c:ser>
        <c:dLbls>
          <c:showLegendKey val="0"/>
          <c:showVal val="0"/>
          <c:showCatName val="0"/>
          <c:showSerName val="0"/>
          <c:showPercent val="0"/>
          <c:showBubbleSize val="0"/>
        </c:dLbls>
        <c:gapWidth val="219"/>
        <c:overlap val="-27"/>
        <c:axId val="1416256479"/>
        <c:axId val="1416256959"/>
      </c:barChart>
      <c:catAx>
        <c:axId val="1416256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256959"/>
        <c:crosses val="autoZero"/>
        <c:auto val="1"/>
        <c:lblAlgn val="ctr"/>
        <c:lblOffset val="100"/>
        <c:noMultiLvlLbl val="0"/>
      </c:catAx>
      <c:valAx>
        <c:axId val="14162569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2564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Spill/</a:t>
            </a:r>
            <a:r>
              <a:rPr lang="en-US" b="1" baseline="0">
                <a:solidFill>
                  <a:sysClr val="windowText" lastClr="000000"/>
                </a:solidFill>
              </a:rPr>
              <a:t> Release Y25 vs YTD26</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3.1028004994521317E-2"/>
          <c:y val="0.19161764705882356"/>
          <c:w val="0.9547325128048314"/>
          <c:h val="0.59233634398641344"/>
        </c:manualLayout>
      </c:layout>
      <c:barChart>
        <c:barDir val="col"/>
        <c:grouping val="clustered"/>
        <c:varyColors val="0"/>
        <c:ser>
          <c:idx val="3"/>
          <c:order val="3"/>
          <c:tx>
            <c:strRef>
              <c:f>'Incident Data'!$A$61</c:f>
              <c:strCache>
                <c:ptCount val="1"/>
              </c:strCache>
            </c:strRef>
          </c:tx>
          <c:spPr>
            <a:solidFill>
              <a:schemeClr val="accent4"/>
            </a:solidFill>
            <a:ln>
              <a:solidFill>
                <a:srgbClr val="FFC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'Incident Data'!$B$57:$M$57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'Incident Data'!$B$61:$M$61</c:f>
              <c:numCache>
                <c:formatCode>General</c:formatCode>
                <c:ptCount val="12"/>
              </c:numCache>
            </c:numRef>
          </c:val>
          <c:extLst>
            <c:ext xmlns:c16="http://schemas.microsoft.com/office/drawing/2014/chart" uri="{C3380CC4-5D6E-409C-BE32-E72D297353CC}">
              <c16:uniqueId val="{00000000-C705-4923-90BA-C7B7B5A1AD88}"/>
            </c:ext>
          </c:extLst>
        </c:ser>
        <c:ser>
          <c:idx val="4"/>
          <c:order val="4"/>
          <c:tx>
            <c:strRef>
              <c:f>'Incident Data'!$A$62</c:f>
              <c:strCache>
                <c:ptCount val="1"/>
              </c:strCache>
            </c:strRef>
          </c:tx>
          <c:spPr>
            <a:solidFill>
              <a:schemeClr val="bg2">
                <a:lumMod val="75000"/>
              </a:schemeClr>
            </a:solidFill>
            <a:ln>
              <a:noFill/>
            </a:ln>
            <a:effectLst/>
          </c:spPr>
          <c:invertIfNegative val="0"/>
          <c:cat>
            <c:strRef>
              <c:f>'Incident Data'!$B$57:$M$57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'Incident Data'!$B$62:$M$62</c:f>
              <c:numCache>
                <c:formatCode>General</c:formatCode>
                <c:ptCount val="12"/>
              </c:numCache>
            </c:numRef>
          </c:val>
          <c:extLst>
            <c:ext xmlns:c16="http://schemas.microsoft.com/office/drawing/2014/chart" uri="{C3380CC4-5D6E-409C-BE32-E72D297353CC}">
              <c16:uniqueId val="{00000001-C705-4923-90BA-C7B7B5A1AD88}"/>
            </c:ext>
          </c:extLst>
        </c:ser>
        <c:dLbls>
          <c:showLegendKey val="0"/>
          <c:showVal val="0"/>
          <c:showCatName val="0"/>
          <c:showSerName val="0"/>
          <c:showPercent val="0"/>
          <c:showBubbleSize val="0"/>
        </c:dLbls>
        <c:gapWidth val="219"/>
        <c:axId val="1362791760"/>
        <c:axId val="1192898736"/>
        <c:extLst>
          <c:ext xmlns:c15="http://schemas.microsoft.com/office/drawing/2012/chart" uri="{02D57815-91ED-43cb-92C2-25804820EDAC}">
            <c15:filteredBarSeries>
              <c15:ser>
                <c:idx val="0"/>
                <c:order val="0"/>
                <c:tx>
                  <c:strRef>
                    <c:extLst>
                      <c:ext uri="{02D57815-91ED-43cb-92C2-25804820EDAC}">
                        <c15:formulaRef>
                          <c15:sqref>'Incident Data'!$A$58</c15:sqref>
                        </c15:formulaRef>
                      </c:ext>
                    </c:extLst>
                    <c:strCache>
                      <c:ptCount val="1"/>
                      <c:pt idx="0">
                        <c:v>2025</c:v>
                      </c:pt>
                    </c:strCache>
                  </c:strRef>
                </c:tx>
                <c:spPr>
                  <a:solidFill>
                    <a:schemeClr val="accent1"/>
                  </a:solidFill>
                  <a:ln>
                    <a:noFill/>
                  </a:ln>
                  <a:effectLst/>
                </c:spPr>
                <c:invertIfNegative val="0"/>
                <c:cat>
                  <c:strRef>
                    <c:extLst>
                      <c:ext uri="{02D57815-91ED-43cb-92C2-25804820EDAC}">
                        <c15:formulaRef>
                          <c15:sqref>'Incident Data'!$B$57:$M$57</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'Incident Data'!$B$58:$M$58</c15:sqref>
                        </c15:formulaRef>
                      </c:ext>
                    </c:extLst>
                    <c:numCache>
                      <c:formatCode>General</c:formatCode>
                      <c:ptCount val="12"/>
                      <c:pt idx="0">
                        <c:v>3</c:v>
                      </c:pt>
                      <c:pt idx="1">
                        <c:v>0</c:v>
                      </c:pt>
                      <c:pt idx="2">
                        <c:v>1</c:v>
                      </c:pt>
                      <c:pt idx="3">
                        <c:v>1</c:v>
                      </c:pt>
                      <c:pt idx="4">
                        <c:v>1</c:v>
                      </c:pt>
                      <c:pt idx="5">
                        <c:v>1</c:v>
                      </c:pt>
                      <c:pt idx="6">
                        <c:v>1</c:v>
                      </c:pt>
                      <c:pt idx="7">
                        <c:v>1</c:v>
                      </c:pt>
                      <c:pt idx="8">
                        <c:v>2</c:v>
                      </c:pt>
                      <c:pt idx="9">
                        <c:v>1</c:v>
                      </c:pt>
                      <c:pt idx="10">
                        <c:v>0</c:v>
                      </c:pt>
                      <c:pt idx="11">
                        <c:v>1</c:v>
                      </c:pt>
                    </c:numCache>
                  </c:numRef>
                </c:val>
                <c:extLst>
                  <c:ext xmlns:c16="http://schemas.microsoft.com/office/drawing/2014/chart" uri="{C3380CC4-5D6E-409C-BE32-E72D297353CC}">
                    <c16:uniqueId val="{00000002-C705-4923-90BA-C7B7B5A1AD88}"/>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'Incident Data'!$A$59</c15:sqref>
                        </c15:formulaRef>
                      </c:ext>
                    </c:extLst>
                    <c:strCache>
                      <c:ptCount val="1"/>
                      <c:pt idx="0">
                        <c:v>2026</c:v>
                      </c:pt>
                    </c:strCache>
                  </c:strRef>
                </c:tx>
                <c:spPr>
                  <a:solidFill>
                    <a:schemeClr val="accent6"/>
                  </a:solidFill>
                  <a:ln>
                    <a:solidFill>
                      <a:schemeClr val="accent6"/>
                    </a:solidFill>
                  </a:ln>
                  <a:effectLst/>
                </c:spPr>
                <c:invertIfNegative val="0"/>
                <c:cat>
                  <c:strRef>
                    <c:extLst xmlns:c15="http://schemas.microsoft.com/office/drawing/2012/chart">
                      <c:ext xmlns:c15="http://schemas.microsoft.com/office/drawing/2012/chart" uri="{02D57815-91ED-43cb-92C2-25804820EDAC}">
                        <c15:formulaRef>
                          <c15:sqref>'Incident Data'!$B$57:$M$57</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'Incident Data'!$B$59:$M$59</c15:sqref>
                        </c15:formulaRef>
                      </c:ext>
                    </c:extLst>
                    <c:numCache>
                      <c:formatCode>General</c:formatCode>
                      <c:ptCount val="12"/>
                      <c:pt idx="0">
                        <c:v>1</c:v>
                      </c:pt>
                      <c:pt idx="1">
                        <c:v>2</c:v>
                      </c:pt>
                      <c:pt idx="2">
                        <c:v>2</c:v>
                      </c:pt>
                      <c:pt idx="3">
                        <c:v>1</c:v>
                      </c:pt>
                      <c:pt idx="4">
                        <c:v>0</c:v>
                      </c:pt>
                      <c:pt idx="5">
                        <c:v>2</c:v>
                      </c:pt>
                      <c:pt idx="6">
                        <c:v>3</c:v>
                      </c:pt>
                      <c:pt idx="7">
                        <c:v>2</c:v>
                      </c:pt>
                      <c:pt idx="8">
                        <c:v>1</c:v>
                      </c:pt>
                    </c:numCache>
                  </c:numRef>
                </c:val>
                <c:extLst xmlns:c15="http://schemas.microsoft.com/office/drawing/2012/chart">
                  <c:ext xmlns:c16="http://schemas.microsoft.com/office/drawing/2014/chart" uri="{C3380CC4-5D6E-409C-BE32-E72D297353CC}">
                    <c16:uniqueId val="{00000003-C705-4923-90BA-C7B7B5A1AD88}"/>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'Incident Data'!$A$60</c15:sqref>
                        </c15:formulaRef>
                      </c:ext>
                    </c:extLst>
                    <c:strCache>
                      <c:ptCount val="1"/>
                    </c:strCache>
                  </c:strRef>
                </c:tx>
                <c:spPr>
                  <a:solidFill>
                    <a:schemeClr val="accent3"/>
                  </a:solidFill>
                  <a:ln>
                    <a:solidFill>
                      <a:schemeClr val="tx2"/>
                    </a:solidFill>
                  </a:ln>
                  <a:effectLst/>
                </c:spPr>
                <c:invertIfNegative val="0"/>
                <c:cat>
                  <c:strRef>
                    <c:extLst xmlns:c15="http://schemas.microsoft.com/office/drawing/2012/chart">
                      <c:ext xmlns:c15="http://schemas.microsoft.com/office/drawing/2012/chart" uri="{02D57815-91ED-43cb-92C2-25804820EDAC}">
                        <c15:formulaRef>
                          <c15:sqref>'Incident Data'!$B$57:$M$57</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'Incident Data'!$B$60:$M$60</c15:sqref>
                        </c15:formulaRef>
                      </c:ext>
                    </c:extLst>
                    <c:numCache>
                      <c:formatCode>General</c:formatCode>
                      <c:ptCount val="12"/>
                    </c:numCache>
                  </c:numRef>
                </c:val>
                <c:extLst xmlns:c15="http://schemas.microsoft.com/office/drawing/2012/chart">
                  <c:ext xmlns:c16="http://schemas.microsoft.com/office/drawing/2014/chart" uri="{C3380CC4-5D6E-409C-BE32-E72D297353CC}">
                    <c16:uniqueId val="{00000004-C705-4923-90BA-C7B7B5A1AD88}"/>
                  </c:ext>
                </c:extLst>
              </c15:ser>
            </c15:filteredBarSeries>
          </c:ext>
        </c:extLst>
      </c:barChart>
      <c:catAx>
        <c:axId val="1362791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898736"/>
        <c:crosses val="autoZero"/>
        <c:auto val="1"/>
        <c:lblAlgn val="ctr"/>
        <c:lblOffset val="100"/>
        <c:noMultiLvlLbl val="0"/>
      </c:catAx>
      <c:valAx>
        <c:axId val="11928987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7917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HSE Incidents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'Incident Data'!$P$2:$Q$2</c:f>
              <c:strCache>
                <c:ptCount val="1"/>
                <c:pt idx="0">
                  <c:v>HSE Incidents </c:v>
                </c:pt>
              </c:strCache>
            </c:strRef>
          </c:tx>
          <c:dPt>
            <c:idx val="0"/>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1-D570-4584-A174-58DE61A26CD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D5D-4806-B4F6-A60574268D01}"/>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570-4584-A174-58DE61A26CD5}"/>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D5D-4806-B4F6-A60574268D01}"/>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numRef>
              <c:f>'Incident Data'!$P$3:$P$4</c:f>
              <c:numCache>
                <c:formatCode>General</c:formatCode>
                <c:ptCount val="2"/>
                <c:pt idx="0">
                  <c:v>2025</c:v>
                </c:pt>
                <c:pt idx="1">
                  <c:v>2026</c:v>
                </c:pt>
              </c:numCache>
            </c:numRef>
          </c:cat>
          <c:val>
            <c:numRef>
              <c:f>'Incident Data'!$Q$3:$Q$4</c:f>
              <c:numCache>
                <c:formatCode>General</c:formatCode>
                <c:ptCount val="2"/>
                <c:pt idx="0">
                  <c:v>41</c:v>
                </c:pt>
                <c:pt idx="1">
                  <c:v>41</c:v>
                </c:pt>
              </c:numCache>
            </c:numRef>
          </c:val>
          <c:extLst>
            <c:ext xmlns:c16="http://schemas.microsoft.com/office/drawing/2014/chart" uri="{C3380CC4-5D6E-409C-BE32-E72D297353CC}">
              <c16:uniqueId val="{00000000-D570-4584-A174-58DE61A26CD5}"/>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 LCY TRIR Experience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'TRIR EXP.'!$G$18</c:f>
              <c:strCache>
                <c:ptCount val="1"/>
                <c:pt idx="0">
                  <c:v>LCY TRIR</c:v>
                </c:pt>
              </c:strCache>
            </c:strRef>
          </c:tx>
          <c:spPr>
            <a:ln w="28575" cap="rnd">
              <a:solidFill>
                <a:srgbClr val="C00000"/>
              </a:solidFill>
              <a:round/>
            </a:ln>
            <a:effectLst/>
          </c:spPr>
          <c:marker>
            <c:symbol val="circle"/>
            <c:size val="5"/>
            <c:spPr>
              <a:solidFill>
                <a:srgbClr val="C00000"/>
              </a:solidFill>
              <a:ln w="9525">
                <a:solidFill>
                  <a:srgbClr val="C000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numRef>
              <c:f>'TRIR EXP.'!$H$7:$M$7</c:f>
              <c:numCache>
                <c:formatCode>General</c:formatCode>
                <c:ptCount val="6"/>
                <c:pt idx="0">
                  <c:v>2021</c:v>
                </c:pt>
                <c:pt idx="1">
                  <c:v>2022</c:v>
                </c:pt>
                <c:pt idx="2">
                  <c:v>2023</c:v>
                </c:pt>
                <c:pt idx="3">
                  <c:v>2024</c:v>
                </c:pt>
                <c:pt idx="4">
                  <c:v>2025</c:v>
                </c:pt>
                <c:pt idx="5">
                  <c:v>2026</c:v>
                </c:pt>
              </c:numCache>
            </c:numRef>
          </c:cat>
          <c:val>
            <c:numRef>
              <c:f>'TRIR EXP.'!$H$18:$M$18</c:f>
              <c:numCache>
                <c:formatCode>0.00</c:formatCode>
                <c:ptCount val="6"/>
                <c:pt idx="0">
                  <c:v>1.1599999999999999</c:v>
                </c:pt>
                <c:pt idx="1">
                  <c:v>3.4</c:v>
                </c:pt>
                <c:pt idx="2">
                  <c:v>1.19</c:v>
                </c:pt>
                <c:pt idx="3">
                  <c:v>1.1399999999999999</c:v>
                </c:pt>
                <c:pt idx="4">
                  <c:v>0</c:v>
                </c:pt>
                <c:pt idx="5">
                  <c:v>1.3774673884595783</c:v>
                </c:pt>
              </c:numCache>
            </c:numRef>
          </c:val>
          <c:smooth val="0"/>
          <c:extLst>
            <c:ext xmlns:c16="http://schemas.microsoft.com/office/drawing/2014/chart" uri="{C3380CC4-5D6E-409C-BE32-E72D297353CC}">
              <c16:uniqueId val="{00000001-C48B-4DAC-A5A8-DF373E5F1918}"/>
            </c:ext>
          </c:extLst>
        </c:ser>
        <c:ser>
          <c:idx val="1"/>
          <c:order val="1"/>
          <c:tx>
            <c:strRef>
              <c:f>'TRIR EXP.'!$G$19</c:f>
              <c:strCache>
                <c:ptCount val="1"/>
                <c:pt idx="0">
                  <c:v>Bureau of labor Statistics industry avg.</c:v>
                </c:pt>
              </c:strCache>
            </c:strRef>
          </c:tx>
          <c:spPr>
            <a:ln w="28575" cap="rnd">
              <a:solidFill>
                <a:schemeClr val="bg1">
                  <a:lumMod val="65000"/>
                </a:schemeClr>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2-C48B-4DAC-A5A8-DF373E5F1918}"/>
                </c:ext>
              </c:extLst>
            </c:dLbl>
            <c:dLbl>
              <c:idx val="1"/>
              <c:delete val="1"/>
              <c:extLst>
                <c:ext xmlns:c15="http://schemas.microsoft.com/office/drawing/2012/chart" uri="{CE6537A1-D6FC-4f65-9D91-7224C49458BB}"/>
                <c:ext xmlns:c16="http://schemas.microsoft.com/office/drawing/2014/chart" uri="{C3380CC4-5D6E-409C-BE32-E72D297353CC}">
                  <c16:uniqueId val="{00000003-C48B-4DAC-A5A8-DF373E5F1918}"/>
                </c:ext>
              </c:extLst>
            </c:dLbl>
            <c:dLbl>
              <c:idx val="2"/>
              <c:delete val="1"/>
              <c:extLst>
                <c:ext xmlns:c15="http://schemas.microsoft.com/office/drawing/2012/chart" uri="{CE6537A1-D6FC-4f65-9D91-7224C49458BB}"/>
                <c:ext xmlns:c16="http://schemas.microsoft.com/office/drawing/2014/chart" uri="{C3380CC4-5D6E-409C-BE32-E72D297353CC}">
                  <c16:uniqueId val="{00000004-C48B-4DAC-A5A8-DF373E5F1918}"/>
                </c:ext>
              </c:extLst>
            </c:dLbl>
            <c:dLbl>
              <c:idx val="3"/>
              <c:delete val="1"/>
              <c:extLst>
                <c:ext xmlns:c15="http://schemas.microsoft.com/office/drawing/2012/chart" uri="{CE6537A1-D6FC-4f65-9D91-7224C49458BB}"/>
                <c:ext xmlns:c16="http://schemas.microsoft.com/office/drawing/2014/chart" uri="{C3380CC4-5D6E-409C-BE32-E72D297353CC}">
                  <c16:uniqueId val="{00000005-C48B-4DAC-A5A8-DF373E5F1918}"/>
                </c:ext>
              </c:extLst>
            </c:dLbl>
            <c:dLbl>
              <c:idx val="4"/>
              <c:spPr>
                <a:solidFill>
                  <a:schemeClr val="tx1"/>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6-C48B-4DAC-A5A8-DF373E5F1918}"/>
                </c:ext>
              </c:extLst>
            </c:dLbl>
            <c:dLbl>
              <c:idx val="5"/>
              <c:delete val="1"/>
              <c:extLst>
                <c:ext xmlns:c15="http://schemas.microsoft.com/office/drawing/2012/chart" uri="{CE6537A1-D6FC-4f65-9D91-7224C49458BB}"/>
                <c:ext xmlns:c16="http://schemas.microsoft.com/office/drawing/2014/chart" uri="{C3380CC4-5D6E-409C-BE32-E72D297353CC}">
                  <c16:uniqueId val="{00000001-148B-4A28-8AE0-04C9CCDDA2EA}"/>
                </c:ext>
              </c:extLst>
            </c:dLbl>
            <c:spPr>
              <a:solidFill>
                <a:schemeClr val="tx1"/>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'TRIR EXP.'!$H$7:$M$7</c:f>
              <c:numCache>
                <c:formatCode>General</c:formatCode>
                <c:ptCount val="6"/>
                <c:pt idx="0">
                  <c:v>2021</c:v>
                </c:pt>
                <c:pt idx="1">
                  <c:v>2022</c:v>
                </c:pt>
                <c:pt idx="2">
                  <c:v>2023</c:v>
                </c:pt>
                <c:pt idx="3">
                  <c:v>2024</c:v>
                </c:pt>
                <c:pt idx="4">
                  <c:v>2025</c:v>
                </c:pt>
                <c:pt idx="5">
                  <c:v>2026</c:v>
                </c:pt>
              </c:numCache>
            </c:numRef>
          </c:cat>
          <c:val>
            <c:numRef>
              <c:f>'TRIR EXP.'!$H$19:$M$19</c:f>
              <c:numCache>
                <c:formatCode>General</c:formatCode>
                <c:ptCount val="6"/>
                <c:pt idx="0">
                  <c:v>2.7</c:v>
                </c:pt>
                <c:pt idx="1">
                  <c:v>1.9</c:v>
                </c:pt>
                <c:pt idx="2">
                  <c:v>1.9</c:v>
                </c:pt>
                <c:pt idx="3">
                  <c:v>1.9</c:v>
                </c:pt>
                <c:pt idx="4">
                  <c:v>1.9</c:v>
                </c:pt>
                <c:pt idx="5">
                  <c:v>1.9</c:v>
                </c:pt>
              </c:numCache>
            </c:numRef>
          </c:val>
          <c:smooth val="0"/>
          <c:extLst>
            <c:ext xmlns:c16="http://schemas.microsoft.com/office/drawing/2014/chart" uri="{C3380CC4-5D6E-409C-BE32-E72D297353CC}">
              <c16:uniqueId val="{00000007-C48B-4DAC-A5A8-DF373E5F1918}"/>
            </c:ext>
          </c:extLst>
        </c:ser>
        <c:dLbls>
          <c:showLegendKey val="0"/>
          <c:showVal val="0"/>
          <c:showCatName val="0"/>
          <c:showSerName val="0"/>
          <c:showPercent val="0"/>
          <c:showBubbleSize val="0"/>
        </c:dLbls>
        <c:marker val="1"/>
        <c:smooth val="0"/>
        <c:axId val="1176933679"/>
        <c:axId val="1176924943"/>
      </c:lineChart>
      <c:lineChart>
        <c:grouping val="standard"/>
        <c:varyColors val="0"/>
        <c:ser>
          <c:idx val="2"/>
          <c:order val="2"/>
          <c:tx>
            <c:strRef>
              <c:f>'TRIR EXP.'!$G$15</c:f>
              <c:strCache>
                <c:ptCount val="1"/>
                <c:pt idx="0">
                  <c:v>Man Hours</c:v>
                </c:pt>
              </c:strCache>
            </c:strRef>
          </c:tx>
          <c:spPr>
            <a:ln w="28575" cap="rnd">
              <a:solidFill>
                <a:srgbClr val="FFFF00"/>
              </a:solidFill>
              <a:round/>
              <a:headEnd type="oval"/>
            </a:ln>
            <a:effectLst/>
          </c:spPr>
          <c:marker>
            <c:symbol val="circle"/>
            <c:size val="5"/>
            <c:spPr>
              <a:solidFill>
                <a:srgbClr val="FFFF00"/>
              </a:solidFill>
              <a:ln w="9525">
                <a:solidFill>
                  <a:schemeClr val="accent3"/>
                </a:solidFill>
              </a:ln>
              <a:effectLst/>
            </c:spPr>
          </c:marker>
          <c:cat>
            <c:numRef>
              <c:f>'TRIR EXP.'!$H$7:$L$7</c:f>
              <c:numCache>
                <c:formatCode>General</c:formatCode>
                <c:ptCount val="5"/>
                <c:pt idx="0">
                  <c:v>2021</c:v>
                </c:pt>
                <c:pt idx="1">
                  <c:v>2022</c:v>
                </c:pt>
                <c:pt idx="2">
                  <c:v>2023</c:v>
                </c:pt>
                <c:pt idx="3">
                  <c:v>2024</c:v>
                </c:pt>
                <c:pt idx="4">
                  <c:v>2025</c:v>
                </c:pt>
              </c:numCache>
            </c:numRef>
          </c:cat>
          <c:val>
            <c:numRef>
              <c:f>'TRIR EXP.'!$H$15:$M$15</c:f>
              <c:numCache>
                <c:formatCode>#,##0</c:formatCode>
                <c:ptCount val="6"/>
                <c:pt idx="0">
                  <c:v>172301</c:v>
                </c:pt>
                <c:pt idx="1">
                  <c:v>176350</c:v>
                </c:pt>
                <c:pt idx="2">
                  <c:v>168563</c:v>
                </c:pt>
                <c:pt idx="3">
                  <c:v>174706</c:v>
                </c:pt>
                <c:pt idx="4">
                  <c:v>191751</c:v>
                </c:pt>
                <c:pt idx="5">
                  <c:v>145194</c:v>
                </c:pt>
              </c:numCache>
            </c:numRef>
          </c:val>
          <c:smooth val="0"/>
          <c:extLst>
            <c:ext xmlns:c16="http://schemas.microsoft.com/office/drawing/2014/chart" uri="{C3380CC4-5D6E-409C-BE32-E72D297353CC}">
              <c16:uniqueId val="{00000008-C48B-4DAC-A5A8-DF373E5F1918}"/>
            </c:ext>
          </c:extLst>
        </c:ser>
        <c:dLbls>
          <c:showLegendKey val="0"/>
          <c:showVal val="0"/>
          <c:showCatName val="0"/>
          <c:showSerName val="0"/>
          <c:showPercent val="0"/>
          <c:showBubbleSize val="0"/>
        </c:dLbls>
        <c:marker val="1"/>
        <c:smooth val="0"/>
        <c:axId val="797163720"/>
        <c:axId val="797168040"/>
      </c:lineChart>
      <c:catAx>
        <c:axId val="117693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924943"/>
        <c:crosses val="autoZero"/>
        <c:auto val="1"/>
        <c:lblAlgn val="ctr"/>
        <c:lblOffset val="100"/>
        <c:noMultiLvlLbl val="0"/>
      </c:catAx>
      <c:valAx>
        <c:axId val="117692494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933679"/>
        <c:crosses val="autoZero"/>
        <c:crossBetween val="between"/>
      </c:valAx>
      <c:valAx>
        <c:axId val="797168040"/>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163720"/>
        <c:crosses val="max"/>
        <c:crossBetween val="between"/>
      </c:valAx>
      <c:catAx>
        <c:axId val="797163720"/>
        <c:scaling>
          <c:orientation val="minMax"/>
        </c:scaling>
        <c:delete val="1"/>
        <c:axPos val="b"/>
        <c:numFmt formatCode="General" sourceLinked="1"/>
        <c:majorTickMark val="out"/>
        <c:minorTickMark val="none"/>
        <c:tickLblPos val="nextTo"/>
        <c:crossAx val="79716804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bevel/>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'Incident Data'!$P$7</c:f>
              <c:strCache>
                <c:ptCount val="1"/>
                <c:pt idx="0">
                  <c:v>Near-Miss</c:v>
                </c:pt>
              </c:strCache>
            </c:strRef>
          </c:tx>
          <c:dPt>
            <c:idx val="0"/>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1-7E87-458F-A658-919DA73FC6B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E87-458F-A658-919DA73FC6B0}"/>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numRef>
              <c:f>'Incident Data'!$P$8:$P$9</c:f>
              <c:numCache>
                <c:formatCode>General</c:formatCode>
                <c:ptCount val="2"/>
                <c:pt idx="0">
                  <c:v>2025</c:v>
                </c:pt>
                <c:pt idx="1">
                  <c:v>2026</c:v>
                </c:pt>
              </c:numCache>
            </c:numRef>
          </c:cat>
          <c:val>
            <c:numRef>
              <c:f>'Incident Data'!$Q$8:$Q$9</c:f>
              <c:numCache>
                <c:formatCode>General</c:formatCode>
                <c:ptCount val="2"/>
                <c:pt idx="0">
                  <c:v>38</c:v>
                </c:pt>
                <c:pt idx="1">
                  <c:v>31</c:v>
                </c:pt>
              </c:numCache>
            </c:numRef>
          </c:val>
          <c:extLst>
            <c:ext xmlns:c16="http://schemas.microsoft.com/office/drawing/2014/chart" uri="{C3380CC4-5D6E-409C-BE32-E72D297353CC}">
              <c16:uniqueId val="{00000004-7E87-458F-A658-919DA73FC6B0}"/>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'SSC-Site -21'!$B$28</c:f>
              <c:strCache>
                <c:ptCount val="1"/>
                <c:pt idx="0">
                  <c:v>Working Interface Observations</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'SSC-Site -21'!$F$4:$Q$4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'SSC-Site -21'!$F$28:$Q$28</c:f>
              <c:numCache>
                <c:formatCode>General</c:formatCode>
                <c:ptCount val="12"/>
                <c:pt idx="1">
                  <c:v>1</c:v>
                </c:pt>
              </c:numCache>
            </c:numRef>
          </c:val>
          <c:extLst>
            <c:ext xmlns:c16="http://schemas.microsoft.com/office/drawing/2014/chart" uri="{C3380CC4-5D6E-409C-BE32-E72D297353CC}">
              <c16:uniqueId val="{00000000-DC32-4BA1-9974-57D5E3C735B3}"/>
            </c:ext>
          </c:extLst>
        </c:ser>
        <c:dLbls>
          <c:showLegendKey val="0"/>
          <c:showVal val="0"/>
          <c:showCatName val="0"/>
          <c:showSerName val="0"/>
          <c:showPercent val="0"/>
          <c:showBubbleSize val="0"/>
        </c:dLbls>
        <c:gapWidth val="150"/>
        <c:axId val="643320552"/>
        <c:axId val="643320944"/>
      </c:barChart>
      <c:lineChart>
        <c:grouping val="standard"/>
        <c:varyColors val="0"/>
        <c:ser>
          <c:idx val="1"/>
          <c:order val="1"/>
          <c:tx>
            <c:strRef>
              <c:f>'SSC-Site -21'!$B$6</c:f>
              <c:strCache>
                <c:ptCount val="1"/>
                <c:pt idx="0">
                  <c:v>Work Stoppages due to safety</c:v>
                </c:pt>
              </c:strCache>
            </c:strRef>
          </c:tx>
          <c:cat>
            <c:strRef>
              <c:f>'SSC-Site -21'!$F$4:$Q$4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'SSC-Site -21'!$F$6:$Q$6</c:f>
              <c:numCache>
                <c:formatCode>General</c:formatCode>
                <c:ptCount val="12"/>
                <c:pt idx="0">
                  <c:v>3</c:v>
                </c:pt>
                <c:pt idx="1">
                  <c:v>2</c:v>
                </c:pt>
              </c:numCache>
            </c:numRef>
          </c:val>
          <c:smooth val="0"/>
          <c:extLst>
            <c:ext xmlns:c16="http://schemas.microsoft.com/office/drawing/2014/chart" uri="{C3380CC4-5D6E-409C-BE32-E72D297353CC}">
              <c16:uniqueId val="{00000001-DC32-4BA1-9974-57D5E3C735B3}"/>
            </c:ext>
          </c:extLst>
        </c:ser>
        <c:dLbls>
          <c:showLegendKey val="0"/>
          <c:showVal val="0"/>
          <c:showCatName val="0"/>
          <c:showSerName val="0"/>
          <c:showPercent val="0"/>
          <c:showBubbleSize val="0"/>
        </c:dLbls>
        <c:marker val="1"/>
        <c:smooth val="0"/>
        <c:axId val="643320552"/>
        <c:axId val="643320944"/>
      </c:lineChart>
      <c:catAx>
        <c:axId val="643320552"/>
        <c:scaling>
          <c:orientation val="minMax"/>
        </c:scaling>
        <c:delete val="0"/>
        <c:axPos val="b"/>
        <c:numFmt formatCode="General" sourceLinked="0"/>
        <c:majorTickMark val="out"/>
        <c:minorTickMark val="none"/>
        <c:tickLblPos val="nextTo"/>
        <c:crossAx val="643320944"/>
        <c:crosses val="autoZero"/>
        <c:auto val="1"/>
        <c:lblAlgn val="ctr"/>
        <c:lblOffset val="100"/>
        <c:noMultiLvlLbl val="0"/>
      </c:catAx>
      <c:valAx>
        <c:axId val="643320944"/>
        <c:scaling>
          <c:orientation val="minMax"/>
        </c:scaling>
        <c:delete val="0"/>
        <c:axPos val="l"/>
        <c:majorGridlines/>
        <c:numFmt formatCode="General" sourceLinked="1"/>
        <c:majorTickMark val="out"/>
        <c:minorTickMark val="none"/>
        <c:tickLblPos val="nextTo"/>
        <c:crossAx val="643320552"/>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Supervisor</a:t>
            </a:r>
            <a:r>
              <a:rPr lang="en-US" baseline="0"/>
              <a:t> Safety Contacts</a:t>
            </a:r>
            <a:endParaRPr lang="en-US"/>
          </a:p>
        </c:rich>
      </c:tx>
      <c:overlay val="0"/>
    </c:title>
    <c:autoTitleDeleted val="0"/>
    <c:plotArea>
      <c:layout/>
      <c:barChart>
        <c:barDir val="col"/>
        <c:grouping val="clustered"/>
        <c:varyColors val="0"/>
        <c:ser>
          <c:idx val="0"/>
          <c:order val="0"/>
          <c:tx>
            <c:v>Actual Contacts</c:v>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'SSC-Site -21'!$V$4:$AG$4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'SSC-Site -21'!$V$37:$AG$37</c:f>
              <c:numCache>
                <c:formatCode>General</c:formatCode>
                <c:ptCount val="12"/>
                <c:pt idx="0">
                  <c:v>35</c:v>
                </c:pt>
                <c:pt idx="1">
                  <c:v>31</c:v>
                </c:pt>
                <c:pt idx="2">
                  <c:v>1</c:v>
                </c:pt>
                <c:pt idx="3">
                  <c:v>0</c:v>
                </c:pt>
                <c:pt idx="4">
                  <c:v>0</c:v>
                </c:pt>
                <c:pt idx="5">
                  <c:v>0</c:v>
                </c:pt>
                <c:pt idx="6">
                  <c:v>0</c:v>
                </c:pt>
                <c:pt idx="7">
                  <c:v>0</c:v>
                </c:pt>
                <c:pt idx="8">
                  <c:v>0</c:v>
                </c:pt>
                <c:pt idx="9">
                  <c:v>0</c:v>
                </c:pt>
                <c:pt idx="10">
                  <c:v>28</c:v>
                </c:pt>
                <c:pt idx="11">
                  <c:v>14</c:v>
                </c:pt>
              </c:numCache>
            </c:numRef>
          </c:val>
          <c:extLst>
            <c:ext xmlns:c16="http://schemas.microsoft.com/office/drawing/2014/chart" uri="{C3380CC4-5D6E-409C-BE32-E72D297353CC}">
              <c16:uniqueId val="{00000000-AA35-496B-B98C-E0CF0B3C0EFD}"/>
            </c:ext>
          </c:extLst>
        </c:ser>
        <c:dLbls>
          <c:showLegendKey val="0"/>
          <c:showVal val="0"/>
          <c:showCatName val="0"/>
          <c:showSerName val="0"/>
          <c:showPercent val="0"/>
          <c:showBubbleSize val="0"/>
        </c:dLbls>
        <c:gapWidth val="150"/>
        <c:axId val="643321728"/>
        <c:axId val="643322120"/>
      </c:barChart>
      <c:lineChart>
        <c:grouping val="standard"/>
        <c:varyColors val="0"/>
        <c:ser>
          <c:idx val="1"/>
          <c:order val="1"/>
          <c:tx>
            <c:v>Target</c:v>
          </c:tx>
          <c:marker>
            <c:symbol val="none"/>
          </c:marker>
          <c:cat>
            <c:strRef>
              <c:f>'SSC-Site -21'!$V$4:$AG$4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'SSC-Site -21'!$V$36:$AG$36</c:f>
              <c:numCache>
                <c:formatCode>General</c:formatCode>
                <c:ptCount val="12"/>
                <c:pt idx="0">
                  <c:v>144</c:v>
                </c:pt>
                <c:pt idx="1">
                  <c:v>144</c:v>
                </c:pt>
                <c:pt idx="2">
                  <c:v>144</c:v>
                </c:pt>
                <c:pt idx="3">
                  <c:v>144</c:v>
                </c:pt>
                <c:pt idx="4">
                  <c:v>144</c:v>
                </c:pt>
                <c:pt idx="5">
                  <c:v>144</c:v>
                </c:pt>
                <c:pt idx="6">
                  <c:v>144</c:v>
                </c:pt>
                <c:pt idx="7">
                  <c:v>144</c:v>
                </c:pt>
                <c:pt idx="8">
                  <c:v>144</c:v>
                </c:pt>
                <c:pt idx="9">
                  <c:v>144</c:v>
                </c:pt>
                <c:pt idx="10">
                  <c:v>144</c:v>
                </c:pt>
                <c:pt idx="11">
                  <c:v>144</c:v>
                </c:pt>
              </c:numCache>
            </c:numRef>
          </c:val>
          <c:smooth val="0"/>
          <c:extLst>
            <c:ext xmlns:c16="http://schemas.microsoft.com/office/drawing/2014/chart" uri="{C3380CC4-5D6E-409C-BE32-E72D297353CC}">
              <c16:uniqueId val="{00000001-AA35-496B-B98C-E0CF0B3C0EFD}"/>
            </c:ext>
          </c:extLst>
        </c:ser>
        <c:dLbls>
          <c:showLegendKey val="0"/>
          <c:showVal val="0"/>
          <c:showCatName val="0"/>
          <c:showSerName val="0"/>
          <c:showPercent val="0"/>
          <c:showBubbleSize val="0"/>
        </c:dLbls>
        <c:marker val="1"/>
        <c:smooth val="0"/>
        <c:axId val="643321728"/>
        <c:axId val="643322120"/>
      </c:lineChart>
      <c:catAx>
        <c:axId val="643321728"/>
        <c:scaling>
          <c:orientation val="minMax"/>
        </c:scaling>
        <c:delete val="0"/>
        <c:axPos val="b"/>
        <c:numFmt formatCode="General" sourceLinked="0"/>
        <c:majorTickMark val="out"/>
        <c:minorTickMark val="none"/>
        <c:tickLblPos val="nextTo"/>
        <c:crossAx val="643322120"/>
        <c:crosses val="autoZero"/>
        <c:auto val="1"/>
        <c:lblAlgn val="ctr"/>
        <c:lblOffset val="100"/>
        <c:noMultiLvlLbl val="0"/>
      </c:catAx>
      <c:valAx>
        <c:axId val="643322120"/>
        <c:scaling>
          <c:orientation val="minMax"/>
        </c:scaling>
        <c:delete val="0"/>
        <c:axPos val="l"/>
        <c:majorGridlines/>
        <c:numFmt formatCode="General" sourceLinked="1"/>
        <c:majorTickMark val="out"/>
        <c:minorTickMark val="none"/>
        <c:tickLblPos val="nextTo"/>
        <c:crossAx val="643321728"/>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lineChart>
        <c:grouping val="standard"/>
        <c:varyColors val="0"/>
        <c:ser>
          <c:idx val="0"/>
          <c:order val="0"/>
          <c:tx>
            <c:v>Supervisor Participation</c:v>
          </c:tx>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'SSC-Site -21'!$V$4:$AG$4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'SSC-Site -21'!$V$38:$AG$38</c:f>
              <c:numCache>
                <c:formatCode>0%</c:formatCode>
                <c:ptCount val="12"/>
                <c:pt idx="0">
                  <c:v>0.24305555555555555</c:v>
                </c:pt>
                <c:pt idx="1">
                  <c:v>0.21527777777777779</c:v>
                </c:pt>
                <c:pt idx="2">
                  <c:v>6.9444444444444441E-3</c:v>
                </c:pt>
                <c:pt idx="3">
                  <c:v>0</c:v>
                </c:pt>
                <c:pt idx="4">
                  <c:v>0</c:v>
                </c:pt>
                <c:pt idx="5">
                  <c:v>0</c:v>
                </c:pt>
                <c:pt idx="6">
                  <c:v>0</c:v>
                </c:pt>
                <c:pt idx="7">
                  <c:v>0</c:v>
                </c:pt>
                <c:pt idx="8">
                  <c:v>0</c:v>
                </c:pt>
                <c:pt idx="9">
                  <c:v>0</c:v>
                </c:pt>
                <c:pt idx="10">
                  <c:v>0.45</c:v>
                </c:pt>
                <c:pt idx="11">
                  <c:v>9.7222222222222224E-2</c:v>
                </c:pt>
              </c:numCache>
            </c:numRef>
          </c:val>
          <c:smooth val="0"/>
          <c:extLst>
            <c:ext xmlns:c16="http://schemas.microsoft.com/office/drawing/2014/chart" uri="{C3380CC4-5D6E-409C-BE32-E72D297353CC}">
              <c16:uniqueId val="{00000000-F7BF-4056-8552-1F0EB0186F1F}"/>
            </c:ext>
          </c:extLst>
        </c:ser>
        <c:dLbls>
          <c:showLegendKey val="0"/>
          <c:showVal val="0"/>
          <c:showCatName val="0"/>
          <c:showSerName val="0"/>
          <c:showPercent val="0"/>
          <c:showBubbleSize val="0"/>
        </c:dLbls>
        <c:marker val="1"/>
        <c:smooth val="0"/>
        <c:axId val="643322904"/>
        <c:axId val="643323296"/>
      </c:lineChart>
      <c:catAx>
        <c:axId val="643322904"/>
        <c:scaling>
          <c:orientation val="minMax"/>
        </c:scaling>
        <c:delete val="0"/>
        <c:axPos val="b"/>
        <c:numFmt formatCode="General" sourceLinked="0"/>
        <c:majorTickMark val="out"/>
        <c:minorTickMark val="none"/>
        <c:tickLblPos val="nextTo"/>
        <c:crossAx val="643323296"/>
        <c:crosses val="autoZero"/>
        <c:auto val="1"/>
        <c:lblAlgn val="ctr"/>
        <c:lblOffset val="100"/>
        <c:noMultiLvlLbl val="0"/>
      </c:catAx>
      <c:valAx>
        <c:axId val="643323296"/>
        <c:scaling>
          <c:orientation val="minMax"/>
        </c:scaling>
        <c:delete val="1"/>
        <c:axPos val="l"/>
        <c:majorGridlines/>
        <c:numFmt formatCode="0%" sourceLinked="1"/>
        <c:majorTickMark val="out"/>
        <c:minorTickMark val="none"/>
        <c:tickLblPos val="nextTo"/>
        <c:crossAx val="643322904"/>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'SSC-Site -21'!$B$8</c:f>
              <c:strCache>
                <c:ptCount val="1"/>
                <c:pt idx="0">
                  <c:v>Safe Behavior Observed</c:v>
                </c:pt>
              </c:strCache>
            </c:strRef>
          </c:tx>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'SSC-Site -21'!$F$4:$Q$4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'SSC-Site -21'!$F$8:$Q$8</c:f>
              <c:numCache>
                <c:formatCode>General</c:formatCode>
                <c:ptCount val="12"/>
                <c:pt idx="0">
                  <c:v>8</c:v>
                </c:pt>
                <c:pt idx="1">
                  <c:v>7</c:v>
                </c:pt>
              </c:numCache>
            </c:numRef>
          </c:val>
          <c:smooth val="0"/>
          <c:extLst>
            <c:ext xmlns:c16="http://schemas.microsoft.com/office/drawing/2014/chart" uri="{C3380CC4-5D6E-409C-BE32-E72D297353CC}">
              <c16:uniqueId val="{00000000-B134-438D-9062-697E04BFFA81}"/>
            </c:ext>
          </c:extLst>
        </c:ser>
        <c:ser>
          <c:idx val="1"/>
          <c:order val="1"/>
          <c:tx>
            <c:strRef>
              <c:f>'SSC-Site -21'!$B$9</c:f>
              <c:strCache>
                <c:ptCount val="1"/>
                <c:pt idx="0">
                  <c:v>At Risk Behavior Observed</c:v>
                </c:pt>
              </c:strCache>
            </c:strRef>
          </c:tx>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'SSC-Site -21'!$F$4:$Q$4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'SSC-Site -21'!$F$9:$Q$9</c:f>
              <c:numCache>
                <c:formatCode>General</c:formatCode>
                <c:ptCount val="12"/>
                <c:pt idx="0">
                  <c:v>7</c:v>
                </c:pt>
                <c:pt idx="1">
                  <c:v>4</c:v>
                </c:pt>
              </c:numCache>
            </c:numRef>
          </c:val>
          <c:smooth val="0"/>
          <c:extLst>
            <c:ext xmlns:c16="http://schemas.microsoft.com/office/drawing/2014/chart" uri="{C3380CC4-5D6E-409C-BE32-E72D297353CC}">
              <c16:uniqueId val="{00000001-B134-438D-9062-697E04BFFA81}"/>
            </c:ext>
          </c:extLst>
        </c:ser>
        <c:dLbls>
          <c:showLegendKey val="0"/>
          <c:showVal val="0"/>
          <c:showCatName val="0"/>
          <c:showSerName val="0"/>
          <c:showPercent val="0"/>
          <c:showBubbleSize val="0"/>
        </c:dLbls>
        <c:marker val="1"/>
        <c:smooth val="0"/>
        <c:axId val="643324080"/>
        <c:axId val="643324472"/>
      </c:lineChart>
      <c:catAx>
        <c:axId val="643324080"/>
        <c:scaling>
          <c:orientation val="minMax"/>
        </c:scaling>
        <c:delete val="0"/>
        <c:axPos val="b"/>
        <c:numFmt formatCode="General" sourceLinked="0"/>
        <c:majorTickMark val="out"/>
        <c:minorTickMark val="none"/>
        <c:tickLblPos val="nextTo"/>
        <c:crossAx val="643324472"/>
        <c:crosses val="autoZero"/>
        <c:auto val="1"/>
        <c:lblAlgn val="ctr"/>
        <c:lblOffset val="100"/>
        <c:noMultiLvlLbl val="0"/>
      </c:catAx>
      <c:valAx>
        <c:axId val="643324472"/>
        <c:scaling>
          <c:orientation val="minMax"/>
        </c:scaling>
        <c:delete val="0"/>
        <c:axPos val="l"/>
        <c:majorGridlines/>
        <c:numFmt formatCode="General" sourceLinked="1"/>
        <c:majorTickMark val="out"/>
        <c:minorTickMark val="none"/>
        <c:tickLblPos val="nextTo"/>
        <c:crossAx val="643324080"/>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1"/>
          <c:order val="1"/>
          <c:tx>
            <c:strRef>
              <c:f>'SSC-Site -21'!$B$15</c:f>
              <c:strCache>
                <c:ptCount val="1"/>
                <c:pt idx="0">
                  <c:v>Permit discrepancies corrected</c:v>
                </c:pt>
              </c:strCache>
            </c:strRef>
          </c:tx>
          <c:invertIfNegative val="0"/>
          <c:cat>
            <c:strRef>
              <c:f>'SSC-Site -21'!$F$4:$Q$4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'SSC-Site -21'!$F$15:$Q$15</c:f>
              <c:numCache>
                <c:formatCode>General</c:formatCode>
                <c:ptCount val="12"/>
                <c:pt idx="0">
                  <c:v>1</c:v>
                </c:pt>
                <c:pt idx="1">
                  <c:v>3</c:v>
                </c:pt>
              </c:numCache>
            </c:numRef>
          </c:val>
          <c:extLst>
            <c:ext xmlns:c16="http://schemas.microsoft.com/office/drawing/2014/chart" uri="{C3380CC4-5D6E-409C-BE32-E72D297353CC}">
              <c16:uniqueId val="{00000000-DFB8-4857-8D96-E1BD2629185E}"/>
            </c:ext>
          </c:extLst>
        </c:ser>
        <c:dLbls>
          <c:showLegendKey val="0"/>
          <c:showVal val="0"/>
          <c:showCatName val="0"/>
          <c:showSerName val="0"/>
          <c:showPercent val="0"/>
          <c:showBubbleSize val="0"/>
        </c:dLbls>
        <c:gapWidth val="150"/>
        <c:axId val="676491248"/>
        <c:axId val="676491640"/>
      </c:barChart>
      <c:lineChart>
        <c:grouping val="standard"/>
        <c:varyColors val="0"/>
        <c:ser>
          <c:idx val="0"/>
          <c:order val="0"/>
          <c:tx>
            <c:strRef>
              <c:f>'SSC-Site -21'!$B$14</c:f>
              <c:strCache>
                <c:ptCount val="1"/>
                <c:pt idx="0">
                  <c:v>Permits Audited</c:v>
                </c:pt>
              </c:strCache>
            </c:strRef>
          </c:tx>
          <c:cat>
            <c:strRef>
              <c:f>'SSC-Site -21'!$F$4:$Q$4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'SSC-Site -21'!$F$14:$Q$14</c:f>
              <c:numCache>
                <c:formatCode>General</c:formatCode>
                <c:ptCount val="12"/>
                <c:pt idx="0">
                  <c:v>4</c:v>
                </c:pt>
                <c:pt idx="1">
                  <c:v>5</c:v>
                </c:pt>
              </c:numCache>
            </c:numRef>
          </c:val>
          <c:smooth val="0"/>
          <c:extLst>
            <c:ext xmlns:c16="http://schemas.microsoft.com/office/drawing/2014/chart" uri="{C3380CC4-5D6E-409C-BE32-E72D297353CC}">
              <c16:uniqueId val="{00000001-DFB8-4857-8D96-E1BD2629185E}"/>
            </c:ext>
          </c:extLst>
        </c:ser>
        <c:dLbls>
          <c:showLegendKey val="0"/>
          <c:showVal val="0"/>
          <c:showCatName val="0"/>
          <c:showSerName val="0"/>
          <c:showPercent val="0"/>
          <c:showBubbleSize val="0"/>
        </c:dLbls>
        <c:marker val="1"/>
        <c:smooth val="0"/>
        <c:axId val="676491248"/>
        <c:axId val="676491640"/>
      </c:lineChart>
      <c:catAx>
        <c:axId val="676491248"/>
        <c:scaling>
          <c:orientation val="minMax"/>
        </c:scaling>
        <c:delete val="0"/>
        <c:axPos val="b"/>
        <c:numFmt formatCode="General" sourceLinked="0"/>
        <c:majorTickMark val="out"/>
        <c:minorTickMark val="none"/>
        <c:tickLblPos val="nextTo"/>
        <c:crossAx val="676491640"/>
        <c:crosses val="autoZero"/>
        <c:auto val="1"/>
        <c:lblAlgn val="ctr"/>
        <c:lblOffset val="100"/>
        <c:noMultiLvlLbl val="0"/>
      </c:catAx>
      <c:valAx>
        <c:axId val="676491640"/>
        <c:scaling>
          <c:orientation val="minMax"/>
        </c:scaling>
        <c:delete val="0"/>
        <c:axPos val="l"/>
        <c:majorGridlines/>
        <c:numFmt formatCode="General" sourceLinked="1"/>
        <c:majorTickMark val="out"/>
        <c:minorTickMark val="none"/>
        <c:tickLblPos val="nextTo"/>
        <c:crossAx val="676491248"/>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1"/>
          <c:order val="1"/>
          <c:tx>
            <c:strRef>
              <c:f>'SSC-Site -21'!$B$12</c:f>
              <c:strCache>
                <c:ptCount val="1"/>
                <c:pt idx="0">
                  <c:v>JSA discrepancies Corrected</c:v>
                </c:pt>
              </c:strCache>
            </c:strRef>
          </c:tx>
          <c:invertIfNegative val="0"/>
          <c:cat>
            <c:strRef>
              <c:f>'SSC-Site -21'!$F$4:$Q$4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'SSC-Site -21'!$F$12:$Q$12</c:f>
              <c:numCache>
                <c:formatCode>General</c:formatCode>
                <c:ptCount val="12"/>
              </c:numCache>
            </c:numRef>
          </c:val>
          <c:extLst>
            <c:ext xmlns:c16="http://schemas.microsoft.com/office/drawing/2014/chart" uri="{C3380CC4-5D6E-409C-BE32-E72D297353CC}">
              <c16:uniqueId val="{00000000-37BA-41EA-8DC4-C4D93C257184}"/>
            </c:ext>
          </c:extLst>
        </c:ser>
        <c:dLbls>
          <c:showLegendKey val="0"/>
          <c:showVal val="0"/>
          <c:showCatName val="0"/>
          <c:showSerName val="0"/>
          <c:showPercent val="0"/>
          <c:showBubbleSize val="0"/>
        </c:dLbls>
        <c:gapWidth val="150"/>
        <c:axId val="676492424"/>
        <c:axId val="676492816"/>
      </c:barChart>
      <c:lineChart>
        <c:grouping val="standard"/>
        <c:varyColors val="0"/>
        <c:ser>
          <c:idx val="0"/>
          <c:order val="0"/>
          <c:tx>
            <c:strRef>
              <c:f>'SSC-Site -21'!$B$11</c:f>
              <c:strCache>
                <c:ptCount val="1"/>
                <c:pt idx="0">
                  <c:v>JSA Forms Audited</c:v>
                </c:pt>
              </c:strCache>
            </c:strRef>
          </c:tx>
          <c:cat>
            <c:strRef>
              <c:f>'SSC-Site -21'!$F$4:$Q$4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'SSC-Site -21'!$F$11:$Q$11</c:f>
              <c:numCache>
                <c:formatCode>General</c:formatCode>
                <c:ptCount val="12"/>
              </c:numCache>
            </c:numRef>
          </c:val>
          <c:smooth val="0"/>
          <c:extLst>
            <c:ext xmlns:c16="http://schemas.microsoft.com/office/drawing/2014/chart" uri="{C3380CC4-5D6E-409C-BE32-E72D297353CC}">
              <c16:uniqueId val="{00000001-37BA-41EA-8DC4-C4D93C257184}"/>
            </c:ext>
          </c:extLst>
        </c:ser>
        <c:dLbls>
          <c:showLegendKey val="0"/>
          <c:showVal val="0"/>
          <c:showCatName val="0"/>
          <c:showSerName val="0"/>
          <c:showPercent val="0"/>
          <c:showBubbleSize val="0"/>
        </c:dLbls>
        <c:marker val="1"/>
        <c:smooth val="0"/>
        <c:axId val="676492424"/>
        <c:axId val="676492816"/>
      </c:lineChart>
      <c:catAx>
        <c:axId val="676492424"/>
        <c:scaling>
          <c:orientation val="minMax"/>
        </c:scaling>
        <c:delete val="0"/>
        <c:axPos val="b"/>
        <c:numFmt formatCode="General" sourceLinked="0"/>
        <c:majorTickMark val="out"/>
        <c:minorTickMark val="none"/>
        <c:tickLblPos val="nextTo"/>
        <c:crossAx val="676492816"/>
        <c:crosses val="autoZero"/>
        <c:auto val="1"/>
        <c:lblAlgn val="ctr"/>
        <c:lblOffset val="100"/>
        <c:noMultiLvlLbl val="0"/>
      </c:catAx>
      <c:valAx>
        <c:axId val="676492816"/>
        <c:scaling>
          <c:orientation val="minMax"/>
        </c:scaling>
        <c:delete val="0"/>
        <c:axPos val="l"/>
        <c:majorGridlines/>
        <c:numFmt formatCode="General" sourceLinked="1"/>
        <c:majorTickMark val="out"/>
        <c:minorTickMark val="none"/>
        <c:tickLblPos val="nextTo"/>
        <c:crossAx val="676492424"/>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1"/>
          <c:order val="1"/>
          <c:tx>
            <c:strRef>
              <c:f>'SSC-Site -21'!$B$17</c:f>
              <c:strCache>
                <c:ptCount val="1"/>
                <c:pt idx="0">
                  <c:v>PPE Discrepancies Observed</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'SSC-Site -21'!$F$4:$Q$4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'SSC-Site -21'!$F$17:$Q$17</c:f>
              <c:numCache>
                <c:formatCode>General</c:formatCode>
                <c:ptCount val="12"/>
                <c:pt idx="0">
                  <c:v>6</c:v>
                </c:pt>
                <c:pt idx="1">
                  <c:v>4</c:v>
                </c:pt>
              </c:numCache>
            </c:numRef>
          </c:val>
          <c:extLst>
            <c:ext xmlns:c16="http://schemas.microsoft.com/office/drawing/2014/chart" uri="{C3380CC4-5D6E-409C-BE32-E72D297353CC}">
              <c16:uniqueId val="{00000000-11E6-4ECA-A6EE-EBE8CF139D67}"/>
            </c:ext>
          </c:extLst>
        </c:ser>
        <c:ser>
          <c:idx val="2"/>
          <c:order val="2"/>
          <c:tx>
            <c:strRef>
              <c:f>'SSC-Site -21'!$B$18</c:f>
              <c:strCache>
                <c:ptCount val="1"/>
                <c:pt idx="0">
                  <c:v>PPE Discrepancies Corrected</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'SSC-Site -21'!$F$4:$Q$4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'SSC-Site -21'!$F$18:$Q$18</c:f>
              <c:numCache>
                <c:formatCode>General</c:formatCode>
                <c:ptCount val="12"/>
                <c:pt idx="0">
                  <c:v>4</c:v>
                </c:pt>
                <c:pt idx="1">
                  <c:v>2</c:v>
                </c:pt>
              </c:numCache>
            </c:numRef>
          </c:val>
          <c:extLst>
            <c:ext xmlns:c16="http://schemas.microsoft.com/office/drawing/2014/chart" uri="{C3380CC4-5D6E-409C-BE32-E72D297353CC}">
              <c16:uniqueId val="{00000001-11E6-4ECA-A6EE-EBE8CF139D67}"/>
            </c:ext>
          </c:extLst>
        </c:ser>
        <c:dLbls>
          <c:showLegendKey val="0"/>
          <c:showVal val="0"/>
          <c:showCatName val="0"/>
          <c:showSerName val="0"/>
          <c:showPercent val="0"/>
          <c:showBubbleSize val="0"/>
        </c:dLbls>
        <c:gapWidth val="150"/>
        <c:axId val="676493600"/>
        <c:axId val="676493992"/>
      </c:barChart>
      <c:lineChart>
        <c:grouping val="standard"/>
        <c:varyColors val="0"/>
        <c:ser>
          <c:idx val="0"/>
          <c:order val="0"/>
          <c:tx>
            <c:strRef>
              <c:f>'SSC-Site -21'!$B$16</c:f>
              <c:strCache>
                <c:ptCount val="1"/>
                <c:pt idx="0">
                  <c:v>PPE Audits performed</c:v>
                </c:pt>
              </c:strCache>
            </c:strRef>
          </c:tx>
          <c:marker>
            <c:symbol val="none"/>
          </c:marker>
          <c:cat>
            <c:strRef>
              <c:f>'SSC-Site -21'!$F$4:$Q$4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'SSC-Site -21'!$F$16:$Q$16</c:f>
              <c:numCache>
                <c:formatCode>General</c:formatCode>
                <c:ptCount val="12"/>
                <c:pt idx="0">
                  <c:v>5</c:v>
                </c:pt>
                <c:pt idx="1">
                  <c:v>3</c:v>
                </c:pt>
              </c:numCache>
            </c:numRef>
          </c:val>
          <c:smooth val="0"/>
          <c:extLst>
            <c:ext xmlns:c16="http://schemas.microsoft.com/office/drawing/2014/chart" uri="{C3380CC4-5D6E-409C-BE32-E72D297353CC}">
              <c16:uniqueId val="{00000002-11E6-4ECA-A6EE-EBE8CF139D67}"/>
            </c:ext>
          </c:extLst>
        </c:ser>
        <c:dLbls>
          <c:showLegendKey val="0"/>
          <c:showVal val="0"/>
          <c:showCatName val="0"/>
          <c:showSerName val="0"/>
          <c:showPercent val="0"/>
          <c:showBubbleSize val="0"/>
        </c:dLbls>
        <c:marker val="1"/>
        <c:smooth val="0"/>
        <c:axId val="676493600"/>
        <c:axId val="676493992"/>
      </c:lineChart>
      <c:catAx>
        <c:axId val="676493600"/>
        <c:scaling>
          <c:orientation val="minMax"/>
        </c:scaling>
        <c:delete val="0"/>
        <c:axPos val="b"/>
        <c:numFmt formatCode="General" sourceLinked="0"/>
        <c:majorTickMark val="out"/>
        <c:minorTickMark val="none"/>
        <c:tickLblPos val="nextTo"/>
        <c:crossAx val="676493992"/>
        <c:crosses val="autoZero"/>
        <c:auto val="1"/>
        <c:lblAlgn val="ctr"/>
        <c:lblOffset val="100"/>
        <c:noMultiLvlLbl val="0"/>
      </c:catAx>
      <c:valAx>
        <c:axId val="676493992"/>
        <c:scaling>
          <c:orientation val="minMax"/>
        </c:scaling>
        <c:delete val="0"/>
        <c:axPos val="l"/>
        <c:majorGridlines/>
        <c:numFmt formatCode="General" sourceLinked="1"/>
        <c:majorTickMark val="out"/>
        <c:minorTickMark val="none"/>
        <c:tickLblPos val="nextTo"/>
        <c:crossAx val="676493600"/>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1"/>
          <c:order val="1"/>
          <c:tx>
            <c:strRef>
              <c:f>'SSC-Site -21'!$B$20</c:f>
              <c:strCache>
                <c:ptCount val="1"/>
                <c:pt idx="0">
                  <c:v>Housekeeping Discrepancies Observed</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'SSC-Site -21'!$F$4:$Q$4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'SSC-Site -21'!$F$20:$Q$20</c:f>
              <c:numCache>
                <c:formatCode>General</c:formatCode>
                <c:ptCount val="12"/>
                <c:pt idx="0">
                  <c:v>9</c:v>
                </c:pt>
                <c:pt idx="1">
                  <c:v>2</c:v>
                </c:pt>
              </c:numCache>
            </c:numRef>
          </c:val>
          <c:extLst>
            <c:ext xmlns:c16="http://schemas.microsoft.com/office/drawing/2014/chart" uri="{C3380CC4-5D6E-409C-BE32-E72D297353CC}">
              <c16:uniqueId val="{00000000-1590-4EAF-940D-BC4403D8B178}"/>
            </c:ext>
          </c:extLst>
        </c:ser>
        <c:ser>
          <c:idx val="2"/>
          <c:order val="2"/>
          <c:tx>
            <c:strRef>
              <c:f>'SSC-Site -21'!$B$21</c:f>
              <c:strCache>
                <c:ptCount val="1"/>
                <c:pt idx="0">
                  <c:v>Housekeeping Discrepancies Corrected</c:v>
                </c:pt>
              </c:strCache>
            </c:strRef>
          </c:tx>
          <c:invertIfNegative val="0"/>
          <c:cat>
            <c:strRef>
              <c:f>'SSC-Site -21'!$F$4:$Q$4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'SSC-Site -21'!$F$21:$Q$21</c:f>
              <c:numCache>
                <c:formatCode>General</c:formatCode>
                <c:ptCount val="12"/>
                <c:pt idx="0">
                  <c:v>8</c:v>
                </c:pt>
                <c:pt idx="1">
                  <c:v>3</c:v>
                </c:pt>
              </c:numCache>
            </c:numRef>
          </c:val>
          <c:extLst>
            <c:ext xmlns:c16="http://schemas.microsoft.com/office/drawing/2014/chart" uri="{C3380CC4-5D6E-409C-BE32-E72D297353CC}">
              <c16:uniqueId val="{00000001-1590-4EAF-940D-BC4403D8B178}"/>
            </c:ext>
          </c:extLst>
        </c:ser>
        <c:dLbls>
          <c:showLegendKey val="0"/>
          <c:showVal val="0"/>
          <c:showCatName val="0"/>
          <c:showSerName val="0"/>
          <c:showPercent val="0"/>
          <c:showBubbleSize val="0"/>
        </c:dLbls>
        <c:gapWidth val="150"/>
        <c:axId val="676494776"/>
        <c:axId val="676495168"/>
      </c:barChart>
      <c:lineChart>
        <c:grouping val="standard"/>
        <c:varyColors val="0"/>
        <c:ser>
          <c:idx val="0"/>
          <c:order val="0"/>
          <c:tx>
            <c:strRef>
              <c:f>'SSC-Site -21'!$B$19</c:f>
              <c:strCache>
                <c:ptCount val="1"/>
                <c:pt idx="0">
                  <c:v>Housekeeping inspections performed</c:v>
                </c:pt>
              </c:strCache>
            </c:strRef>
          </c:tx>
          <c:marker>
            <c:symbol val="none"/>
          </c:marker>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'SSC-Site -21'!$F$4:$Q$4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'SSC-Site -21'!$F$19:$Q$19</c:f>
              <c:numCache>
                <c:formatCode>General</c:formatCode>
                <c:ptCount val="12"/>
                <c:pt idx="0">
                  <c:v>9</c:v>
                </c:pt>
                <c:pt idx="1">
                  <c:v>3</c:v>
                </c:pt>
              </c:numCache>
            </c:numRef>
          </c:val>
          <c:smooth val="0"/>
          <c:extLst>
            <c:ext xmlns:c16="http://schemas.microsoft.com/office/drawing/2014/chart" uri="{C3380CC4-5D6E-409C-BE32-E72D297353CC}">
              <c16:uniqueId val="{00000002-1590-4EAF-940D-BC4403D8B178}"/>
            </c:ext>
          </c:extLst>
        </c:ser>
        <c:dLbls>
          <c:showLegendKey val="0"/>
          <c:showVal val="0"/>
          <c:showCatName val="0"/>
          <c:showSerName val="0"/>
          <c:showPercent val="0"/>
          <c:showBubbleSize val="0"/>
        </c:dLbls>
        <c:marker val="1"/>
        <c:smooth val="0"/>
        <c:axId val="676494776"/>
        <c:axId val="676495168"/>
      </c:lineChart>
      <c:catAx>
        <c:axId val="676494776"/>
        <c:scaling>
          <c:orientation val="minMax"/>
        </c:scaling>
        <c:delete val="0"/>
        <c:axPos val="b"/>
        <c:numFmt formatCode="General" sourceLinked="0"/>
        <c:majorTickMark val="out"/>
        <c:minorTickMark val="none"/>
        <c:tickLblPos val="nextTo"/>
        <c:crossAx val="676495168"/>
        <c:crosses val="autoZero"/>
        <c:auto val="1"/>
        <c:lblAlgn val="ctr"/>
        <c:lblOffset val="100"/>
        <c:noMultiLvlLbl val="0"/>
      </c:catAx>
      <c:valAx>
        <c:axId val="676495168"/>
        <c:scaling>
          <c:orientation val="minMax"/>
        </c:scaling>
        <c:delete val="0"/>
        <c:axPos val="l"/>
        <c:majorGridlines/>
        <c:numFmt formatCode="General" sourceLinked="1"/>
        <c:majorTickMark val="out"/>
        <c:minorTickMark val="none"/>
        <c:tickLblPos val="nextTo"/>
        <c:crossAx val="676494776"/>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1"/>
          <c:order val="1"/>
          <c:tx>
            <c:strRef>
              <c:f>'SSC-Site -21'!$B$23</c:f>
              <c:strCache>
                <c:ptCount val="1"/>
                <c:pt idx="0">
                  <c:v>LO/TO Discrepancies observed</c:v>
                </c:pt>
              </c:strCache>
            </c:strRef>
          </c:tx>
          <c:invertIfNegative val="0"/>
          <c:cat>
            <c:strRef>
              <c:f>'SSC-Site -21'!$F$4:$Q$4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'SSC-Site -21'!$F$23:$Q$23</c:f>
              <c:numCache>
                <c:formatCode>General</c:formatCode>
                <c:ptCount val="12"/>
                <c:pt idx="0">
                  <c:v>7</c:v>
                </c:pt>
                <c:pt idx="1">
                  <c:v>1</c:v>
                </c:pt>
              </c:numCache>
            </c:numRef>
          </c:val>
          <c:extLst>
            <c:ext xmlns:c16="http://schemas.microsoft.com/office/drawing/2014/chart" uri="{C3380CC4-5D6E-409C-BE32-E72D297353CC}">
              <c16:uniqueId val="{00000000-CA6D-4F54-B37C-67C73BF6B360}"/>
            </c:ext>
          </c:extLst>
        </c:ser>
        <c:ser>
          <c:idx val="2"/>
          <c:order val="2"/>
          <c:tx>
            <c:strRef>
              <c:f>'SSC-Site -21'!$B$24</c:f>
              <c:strCache>
                <c:ptCount val="1"/>
                <c:pt idx="0">
                  <c:v>LO/TO Discrepancies corrected</c:v>
                </c:pt>
              </c:strCache>
            </c:strRef>
          </c:tx>
          <c:invertIfNegative val="0"/>
          <c:cat>
            <c:strRef>
              <c:f>'SSC-Site -21'!$F$4:$Q$4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'SSC-Site -21'!$F$24:$Q$24</c:f>
              <c:numCache>
                <c:formatCode>General</c:formatCode>
                <c:ptCount val="12"/>
                <c:pt idx="0">
                  <c:v>5</c:v>
                </c:pt>
              </c:numCache>
            </c:numRef>
          </c:val>
          <c:extLst>
            <c:ext xmlns:c16="http://schemas.microsoft.com/office/drawing/2014/chart" uri="{C3380CC4-5D6E-409C-BE32-E72D297353CC}">
              <c16:uniqueId val="{00000001-CA6D-4F54-B37C-67C73BF6B360}"/>
            </c:ext>
          </c:extLst>
        </c:ser>
        <c:dLbls>
          <c:showLegendKey val="0"/>
          <c:showVal val="0"/>
          <c:showCatName val="0"/>
          <c:showSerName val="0"/>
          <c:showPercent val="0"/>
          <c:showBubbleSize val="0"/>
        </c:dLbls>
        <c:gapWidth val="150"/>
        <c:axId val="676495952"/>
        <c:axId val="676496344"/>
      </c:barChart>
      <c:lineChart>
        <c:grouping val="standard"/>
        <c:varyColors val="0"/>
        <c:ser>
          <c:idx val="0"/>
          <c:order val="0"/>
          <c:tx>
            <c:strRef>
              <c:f>'SSC-Site -21'!$B$22</c:f>
              <c:strCache>
                <c:ptCount val="1"/>
                <c:pt idx="0">
                  <c:v>LO/TO Reviewed</c:v>
                </c:pt>
              </c:strCache>
            </c:strRef>
          </c:tx>
          <c:marker>
            <c:symbol val="none"/>
          </c:marker>
          <c:cat>
            <c:strRef>
              <c:f>'SSC-Site -21'!$F$4:$Q$4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'SSC-Site -21'!$F$22:$Q$22</c:f>
              <c:numCache>
                <c:formatCode>General</c:formatCode>
                <c:ptCount val="12"/>
                <c:pt idx="0">
                  <c:v>5</c:v>
                </c:pt>
              </c:numCache>
            </c:numRef>
          </c:val>
          <c:smooth val="0"/>
          <c:extLst>
            <c:ext xmlns:c16="http://schemas.microsoft.com/office/drawing/2014/chart" uri="{C3380CC4-5D6E-409C-BE32-E72D297353CC}">
              <c16:uniqueId val="{00000002-CA6D-4F54-B37C-67C73BF6B360}"/>
            </c:ext>
          </c:extLst>
        </c:ser>
        <c:dLbls>
          <c:showLegendKey val="0"/>
          <c:showVal val="0"/>
          <c:showCatName val="0"/>
          <c:showSerName val="0"/>
          <c:showPercent val="0"/>
          <c:showBubbleSize val="0"/>
        </c:dLbls>
        <c:marker val="1"/>
        <c:smooth val="0"/>
        <c:axId val="676495952"/>
        <c:axId val="676496344"/>
      </c:lineChart>
      <c:catAx>
        <c:axId val="676495952"/>
        <c:scaling>
          <c:orientation val="minMax"/>
        </c:scaling>
        <c:delete val="0"/>
        <c:axPos val="b"/>
        <c:numFmt formatCode="General" sourceLinked="0"/>
        <c:majorTickMark val="out"/>
        <c:minorTickMark val="none"/>
        <c:tickLblPos val="nextTo"/>
        <c:crossAx val="676496344"/>
        <c:crosses val="autoZero"/>
        <c:auto val="1"/>
        <c:lblAlgn val="ctr"/>
        <c:lblOffset val="100"/>
        <c:noMultiLvlLbl val="0"/>
      </c:catAx>
      <c:valAx>
        <c:axId val="676496344"/>
        <c:scaling>
          <c:orientation val="minMax"/>
        </c:scaling>
        <c:delete val="0"/>
        <c:axPos val="l"/>
        <c:majorGridlines/>
        <c:numFmt formatCode="General" sourceLinked="1"/>
        <c:majorTickMark val="out"/>
        <c:minorTickMark val="none"/>
        <c:tickLblPos val="nextTo"/>
        <c:crossAx val="676495952"/>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1"/>
          <c:order val="1"/>
          <c:tx>
            <c:strRef>
              <c:f>'SSC-Site -21'!$B$26</c:f>
              <c:strCache>
                <c:ptCount val="1"/>
                <c:pt idx="0">
                  <c:v>Near Miss Reported</c:v>
                </c:pt>
              </c:strCache>
            </c:strRef>
          </c:tx>
          <c:invertIfNegative val="0"/>
          <c:cat>
            <c:strRef>
              <c:f>'SSC-Site -21'!$F$4:$Q$4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'SSC-Site -21'!$F$26:$Q$26</c:f>
              <c:numCache>
                <c:formatCode>General</c:formatCode>
                <c:ptCount val="12"/>
              </c:numCache>
            </c:numRef>
          </c:val>
          <c:extLst>
            <c:ext xmlns:c16="http://schemas.microsoft.com/office/drawing/2014/chart" uri="{C3380CC4-5D6E-409C-BE32-E72D297353CC}">
              <c16:uniqueId val="{00000000-0C64-4503-A238-7E1DD76EBCE9}"/>
            </c:ext>
          </c:extLst>
        </c:ser>
        <c:ser>
          <c:idx val="2"/>
          <c:order val="2"/>
          <c:tx>
            <c:strRef>
              <c:f>'SSC-Site -21'!$B$27</c:f>
              <c:strCache>
                <c:ptCount val="1"/>
                <c:pt idx="0">
                  <c:v>Near Miss Corrected</c:v>
                </c:pt>
              </c:strCache>
            </c:strRef>
          </c:tx>
          <c:invertIfNegative val="0"/>
          <c:cat>
            <c:strRef>
              <c:f>'SSC-Site -21'!$F$4:$Q$4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'SSC-Site -21'!$F$27:$Q$27</c:f>
              <c:numCache>
                <c:formatCode>General</c:formatCode>
                <c:ptCount val="12"/>
                <c:pt idx="0">
                  <c:v>1</c:v>
                </c:pt>
                <c:pt idx="1">
                  <c:v>2</c:v>
                </c:pt>
              </c:numCache>
            </c:numRef>
          </c:val>
          <c:extLst>
            <c:ext xmlns:c16="http://schemas.microsoft.com/office/drawing/2014/chart" uri="{C3380CC4-5D6E-409C-BE32-E72D297353CC}">
              <c16:uniqueId val="{00000001-0C64-4503-A238-7E1DD76EBCE9}"/>
            </c:ext>
          </c:extLst>
        </c:ser>
        <c:dLbls>
          <c:showLegendKey val="0"/>
          <c:showVal val="0"/>
          <c:showCatName val="0"/>
          <c:showSerName val="0"/>
          <c:showPercent val="0"/>
          <c:showBubbleSize val="0"/>
        </c:dLbls>
        <c:gapWidth val="150"/>
        <c:axId val="676497128"/>
        <c:axId val="676497520"/>
      </c:barChart>
      <c:lineChart>
        <c:grouping val="standard"/>
        <c:varyColors val="0"/>
        <c:ser>
          <c:idx val="0"/>
          <c:order val="0"/>
          <c:tx>
            <c:strRef>
              <c:f>'SSC-Site -21'!$B$25</c:f>
              <c:strCache>
                <c:ptCount val="1"/>
                <c:pt idx="0">
                  <c:v>Near Miss Observed</c:v>
                </c:pt>
              </c:strCache>
            </c:strRef>
          </c:tx>
          <c:marker>
            <c:symbol val="none"/>
          </c:marker>
          <c:cat>
            <c:strRef>
              <c:f>'SSC-Site -21'!$F$4:$Q$4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'SSC-Site -21'!$F$25:$Q$25</c:f>
              <c:numCache>
                <c:formatCode>General</c:formatCode>
                <c:ptCount val="12"/>
                <c:pt idx="0">
                  <c:v>1</c:v>
                </c:pt>
                <c:pt idx="1">
                  <c:v>2</c:v>
                </c:pt>
              </c:numCache>
            </c:numRef>
          </c:val>
          <c:smooth val="0"/>
          <c:extLst>
            <c:ext xmlns:c16="http://schemas.microsoft.com/office/drawing/2014/chart" uri="{C3380CC4-5D6E-409C-BE32-E72D297353CC}">
              <c16:uniqueId val="{00000002-0C64-4503-A238-7E1DD76EBCE9}"/>
            </c:ext>
          </c:extLst>
        </c:ser>
        <c:dLbls>
          <c:showLegendKey val="0"/>
          <c:showVal val="0"/>
          <c:showCatName val="0"/>
          <c:showSerName val="0"/>
          <c:showPercent val="0"/>
          <c:showBubbleSize val="0"/>
        </c:dLbls>
        <c:marker val="1"/>
        <c:smooth val="0"/>
        <c:axId val="676497128"/>
        <c:axId val="676497520"/>
      </c:lineChart>
      <c:catAx>
        <c:axId val="676497128"/>
        <c:scaling>
          <c:orientation val="minMax"/>
        </c:scaling>
        <c:delete val="0"/>
        <c:axPos val="b"/>
        <c:numFmt formatCode="General" sourceLinked="0"/>
        <c:majorTickMark val="out"/>
        <c:minorTickMark val="none"/>
        <c:tickLblPos val="nextTo"/>
        <c:crossAx val="676497520"/>
        <c:crosses val="autoZero"/>
        <c:auto val="1"/>
        <c:lblAlgn val="ctr"/>
        <c:lblOffset val="100"/>
        <c:noMultiLvlLbl val="0"/>
      </c:catAx>
      <c:valAx>
        <c:axId val="676497520"/>
        <c:scaling>
          <c:orientation val="minMax"/>
        </c:scaling>
        <c:delete val="0"/>
        <c:axPos val="l"/>
        <c:majorGridlines/>
        <c:numFmt formatCode="General" sourceLinked="1"/>
        <c:majorTickMark val="out"/>
        <c:minorTickMark val="none"/>
        <c:tickLblPos val="nextTo"/>
        <c:crossAx val="676497128"/>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lineChart>
        <c:grouping val="standard"/>
        <c:varyColors val="0"/>
        <c:ser>
          <c:idx val="0"/>
          <c:order val="0"/>
          <c:tx>
            <c:strRef>
              <c:f>'SSC-Site -21'!$B$28</c:f>
              <c:strCache>
                <c:ptCount val="1"/>
                <c:pt idx="0">
                  <c:v>Working Interface Observations</c:v>
                </c:pt>
              </c:strCache>
            </c:strRef>
          </c:tx>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'SSC-Site -21'!$F$4:$Q$4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'SSC-Site -21'!$F$28:$Q$28</c:f>
              <c:numCache>
                <c:formatCode>General</c:formatCode>
                <c:ptCount val="12"/>
                <c:pt idx="1">
                  <c:v>1</c:v>
                </c:pt>
              </c:numCache>
            </c:numRef>
          </c:val>
          <c:smooth val="0"/>
          <c:extLst>
            <c:ext xmlns:c16="http://schemas.microsoft.com/office/drawing/2014/chart" uri="{C3380CC4-5D6E-409C-BE32-E72D297353CC}">
              <c16:uniqueId val="{00000000-8AE6-4E7E-B1BA-53AF0388D28F}"/>
            </c:ext>
          </c:extLst>
        </c:ser>
        <c:dLbls>
          <c:showLegendKey val="0"/>
          <c:showVal val="0"/>
          <c:showCatName val="0"/>
          <c:showSerName val="0"/>
          <c:showPercent val="0"/>
          <c:showBubbleSize val="0"/>
        </c:dLbls>
        <c:marker val="1"/>
        <c:smooth val="0"/>
        <c:axId val="676498304"/>
        <c:axId val="676498696"/>
      </c:lineChart>
      <c:catAx>
        <c:axId val="676498304"/>
        <c:scaling>
          <c:orientation val="minMax"/>
        </c:scaling>
        <c:delete val="0"/>
        <c:axPos val="b"/>
        <c:numFmt formatCode="General" sourceLinked="0"/>
        <c:majorTickMark val="out"/>
        <c:minorTickMark val="none"/>
        <c:tickLblPos val="nextTo"/>
        <c:crossAx val="676498696"/>
        <c:crosses val="autoZero"/>
        <c:auto val="1"/>
        <c:lblAlgn val="ctr"/>
        <c:lblOffset val="100"/>
        <c:noMultiLvlLbl val="0"/>
      </c:catAx>
      <c:valAx>
        <c:axId val="676498696"/>
        <c:scaling>
          <c:orientation val="minMax"/>
        </c:scaling>
        <c:delete val="0"/>
        <c:axPos val="l"/>
        <c:majorGridlines/>
        <c:numFmt formatCode="General" sourceLinked="1"/>
        <c:majorTickMark val="out"/>
        <c:minorTickMark val="none"/>
        <c:tickLblPos val="nextTo"/>
        <c:crossAx val="676498304"/>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lineChart>
        <c:grouping val="standard"/>
        <c:varyColors val="0"/>
        <c:ser>
          <c:idx val="0"/>
          <c:order val="0"/>
          <c:tx>
            <c:strRef>
              <c:f>'SSC-Site -21'!$B$31</c:f>
              <c:strCache>
                <c:ptCount val="1"/>
                <c:pt idx="0">
                  <c:v>Safety Interaction with Team Member</c:v>
                </c:pt>
              </c:strCache>
            </c:strRef>
          </c:tx>
          <c:marker>
            <c:symbol val="none"/>
          </c:marker>
          <c:cat>
            <c:strRef>
              <c:f>'SSC-Site -21'!$F$4:$Q$4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'SSC-Site -21'!$F$31:$Q$31</c:f>
              <c:numCache>
                <c:formatCode>General</c:formatCode>
                <c:ptCount val="12"/>
                <c:pt idx="0">
                  <c:v>8</c:v>
                </c:pt>
                <c:pt idx="1">
                  <c:v>4</c:v>
                </c:pt>
              </c:numCache>
            </c:numRef>
          </c:val>
          <c:smooth val="0"/>
          <c:extLst>
            <c:ext xmlns:c16="http://schemas.microsoft.com/office/drawing/2014/chart" uri="{C3380CC4-5D6E-409C-BE32-E72D297353CC}">
              <c16:uniqueId val="{00000000-C250-4371-A090-B2CE9016569F}"/>
            </c:ext>
          </c:extLst>
        </c:ser>
        <c:dLbls>
          <c:showLegendKey val="0"/>
          <c:showVal val="0"/>
          <c:showCatName val="0"/>
          <c:showSerName val="0"/>
          <c:showPercent val="0"/>
          <c:showBubbleSize val="0"/>
        </c:dLbls>
        <c:smooth val="0"/>
        <c:axId val="676499480"/>
        <c:axId val="676499872"/>
      </c:lineChart>
      <c:catAx>
        <c:axId val="676499480"/>
        <c:scaling>
          <c:orientation val="minMax"/>
        </c:scaling>
        <c:delete val="0"/>
        <c:axPos val="b"/>
        <c:numFmt formatCode="General" sourceLinked="0"/>
        <c:majorTickMark val="out"/>
        <c:minorTickMark val="none"/>
        <c:tickLblPos val="nextTo"/>
        <c:crossAx val="676499872"/>
        <c:crosses val="autoZero"/>
        <c:auto val="1"/>
        <c:lblAlgn val="ctr"/>
        <c:lblOffset val="100"/>
        <c:noMultiLvlLbl val="0"/>
      </c:catAx>
      <c:valAx>
        <c:axId val="676499872"/>
        <c:scaling>
          <c:orientation val="minMax"/>
        </c:scaling>
        <c:delete val="0"/>
        <c:axPos val="l"/>
        <c:majorGridlines/>
        <c:numFmt formatCode="General" sourceLinked="1"/>
        <c:majorTickMark val="out"/>
        <c:minorTickMark val="none"/>
        <c:tickLblPos val="nextTo"/>
        <c:crossAx val="676499480"/>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1"/>
          <c:order val="1"/>
          <c:tx>
            <c:strRef>
              <c:f>'SSC-Site -21'!$B$33</c:f>
              <c:strCache>
                <c:ptCount val="1"/>
                <c:pt idx="0">
                  <c:v>At-Risk guidance feedback Provided</c:v>
                </c:pt>
              </c:strCache>
            </c:strRef>
          </c:tx>
          <c:invertIfNegative val="0"/>
          <c:cat>
            <c:strRef>
              <c:f>'SSC-Site -21'!$F$4:$Q$4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'SSC-Site -21'!$F$33:$Q$33</c:f>
              <c:numCache>
                <c:formatCode>General</c:formatCode>
                <c:ptCount val="12"/>
                <c:pt idx="0">
                  <c:v>2</c:v>
                </c:pt>
                <c:pt idx="1">
                  <c:v>1</c:v>
                </c:pt>
              </c:numCache>
            </c:numRef>
          </c:val>
          <c:extLst>
            <c:ext xmlns:c16="http://schemas.microsoft.com/office/drawing/2014/chart" uri="{C3380CC4-5D6E-409C-BE32-E72D297353CC}">
              <c16:uniqueId val="{00000000-76B1-4E8A-9B70-18477FC06368}"/>
            </c:ext>
          </c:extLst>
        </c:ser>
        <c:dLbls>
          <c:showLegendKey val="0"/>
          <c:showVal val="0"/>
          <c:showCatName val="0"/>
          <c:showSerName val="0"/>
          <c:showPercent val="0"/>
          <c:showBubbleSize val="0"/>
        </c:dLbls>
        <c:gapWidth val="150"/>
        <c:axId val="676500656"/>
        <c:axId val="676501048"/>
      </c:barChart>
      <c:lineChart>
        <c:grouping val="standard"/>
        <c:varyColors val="0"/>
        <c:ser>
          <c:idx val="0"/>
          <c:order val="0"/>
          <c:tx>
            <c:strRef>
              <c:f>'SSC-Site -21'!$B$32</c:f>
              <c:strCache>
                <c:ptCount val="1"/>
                <c:pt idx="0">
                  <c:v>Positive safe feedback given</c:v>
                </c:pt>
              </c:strCache>
            </c:strRef>
          </c:tx>
          <c:cat>
            <c:strRef>
              <c:f>'SSC-Site -21'!$F$4:$Q$4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'SSC-Site -21'!$F$32:$Q$32</c:f>
              <c:numCache>
                <c:formatCode>General</c:formatCode>
                <c:ptCount val="12"/>
                <c:pt idx="0">
                  <c:v>14</c:v>
                </c:pt>
                <c:pt idx="1">
                  <c:v>11</c:v>
                </c:pt>
              </c:numCache>
            </c:numRef>
          </c:val>
          <c:smooth val="0"/>
          <c:extLst>
            <c:ext xmlns:c16="http://schemas.microsoft.com/office/drawing/2014/chart" uri="{C3380CC4-5D6E-409C-BE32-E72D297353CC}">
              <c16:uniqueId val="{00000001-76B1-4E8A-9B70-18477FC06368}"/>
            </c:ext>
          </c:extLst>
        </c:ser>
        <c:dLbls>
          <c:showLegendKey val="0"/>
          <c:showVal val="0"/>
          <c:showCatName val="0"/>
          <c:showSerName val="0"/>
          <c:showPercent val="0"/>
          <c:showBubbleSize val="0"/>
        </c:dLbls>
        <c:marker val="1"/>
        <c:smooth val="0"/>
        <c:axId val="676500656"/>
        <c:axId val="676501048"/>
      </c:lineChart>
      <c:catAx>
        <c:axId val="676500656"/>
        <c:scaling>
          <c:orientation val="minMax"/>
        </c:scaling>
        <c:delete val="0"/>
        <c:axPos val="b"/>
        <c:numFmt formatCode="General" sourceLinked="0"/>
        <c:majorTickMark val="out"/>
        <c:minorTickMark val="none"/>
        <c:tickLblPos val="nextTo"/>
        <c:crossAx val="676501048"/>
        <c:crosses val="autoZero"/>
        <c:auto val="1"/>
        <c:lblAlgn val="ctr"/>
        <c:lblOffset val="100"/>
        <c:noMultiLvlLbl val="0"/>
      </c:catAx>
      <c:valAx>
        <c:axId val="676501048"/>
        <c:scaling>
          <c:orientation val="minMax"/>
        </c:scaling>
        <c:delete val="0"/>
        <c:axPos val="l"/>
        <c:majorGridlines/>
        <c:numFmt formatCode="General" sourceLinked="1"/>
        <c:majorTickMark val="out"/>
        <c:minorTickMark val="none"/>
        <c:tickLblPos val="nextTo"/>
        <c:crossAx val="676500656"/>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barChart>
        <c:barDir val="col"/>
        <c:grouping val="clustered"/>
        <c:varyColors val="0"/>
        <c:ser>
          <c:idx val="0"/>
          <c:order val="0"/>
          <c:tx>
            <c:v>Contacts by Catagory</c:v>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'SSC-Site -21'!$AN$2:$AN$25</c:f>
              <c:strCache>
                <c:ptCount val="24"/>
                <c:pt idx="0">
                  <c:v>Hand Safety Discussion</c:v>
                </c:pt>
                <c:pt idx="1">
                  <c:v>PPE Discrepancies Observed</c:v>
                </c:pt>
                <c:pt idx="2">
                  <c:v>Housekeeping Discrepancies Corrected</c:v>
                </c:pt>
                <c:pt idx="3">
                  <c:v>At Risk Behavior Observed</c:v>
                </c:pt>
                <c:pt idx="4">
                  <c:v>Safe Behavior Observed</c:v>
                </c:pt>
                <c:pt idx="5">
                  <c:v>PPE Audits performed</c:v>
                </c:pt>
                <c:pt idx="6">
                  <c:v>Permits Issued</c:v>
                </c:pt>
                <c:pt idx="7">
                  <c:v>PPE Discrepancies Corrected</c:v>
                </c:pt>
                <c:pt idx="8">
                  <c:v>Near Miss Corrected</c:v>
                </c:pt>
                <c:pt idx="9">
                  <c:v>Near Miss Observed</c:v>
                </c:pt>
                <c:pt idx="10">
                  <c:v>Work Stoppages due to safety</c:v>
                </c:pt>
                <c:pt idx="11">
                  <c:v>Work corrected after stoppages</c:v>
                </c:pt>
                <c:pt idx="12">
                  <c:v>JSAForms Filled Out</c:v>
                </c:pt>
                <c:pt idx="13">
                  <c:v>JSA Forms Audited</c:v>
                </c:pt>
                <c:pt idx="14">
                  <c:v>JSA discrepancies Corrected</c:v>
                </c:pt>
                <c:pt idx="15">
                  <c:v>Permits Audited</c:v>
                </c:pt>
                <c:pt idx="16">
                  <c:v>Permit discrepancies corrected</c:v>
                </c:pt>
                <c:pt idx="17">
                  <c:v>Housekeeping inspections performed</c:v>
                </c:pt>
                <c:pt idx="18">
                  <c:v>Housekeeping Discrepancies Observed</c:v>
                </c:pt>
                <c:pt idx="19">
                  <c:v>LO/TO Reviewed</c:v>
                </c:pt>
                <c:pt idx="20">
                  <c:v>LO/TO Discrepancies observed</c:v>
                </c:pt>
                <c:pt idx="21">
                  <c:v>LO/TO Discrepancies corrected</c:v>
                </c:pt>
                <c:pt idx="22">
                  <c:v>Near Miss Reported</c:v>
                </c:pt>
                <c:pt idx="23">
                  <c:v>Working Interface Observations</c:v>
                </c:pt>
              </c:strCache>
            </c:strRef>
          </c:cat>
          <c:val>
            <c:numRef>
              <c:f>'SSC-Site -21'!$AO$2:$AO$25</c:f>
              <c:numCache>
                <c:formatCode>General</c:formatCode>
                <c:ptCount val="24"/>
                <c:pt idx="0">
                  <c:v>8</c:v>
                </c:pt>
                <c:pt idx="1">
                  <c:v>0</c:v>
                </c:pt>
                <c:pt idx="2">
                  <c:v>0</c:v>
                </c:pt>
                <c:pt idx="3">
                  <c:v>19</c:v>
                </c:pt>
                <c:pt idx="4">
                  <c:v>19</c:v>
                </c:pt>
                <c:pt idx="5">
                  <c:v>0</c:v>
                </c:pt>
                <c:pt idx="6">
                  <c:v>0</c:v>
                </c:pt>
                <c:pt idx="7">
                  <c:v>0</c:v>
                </c:pt>
                <c:pt idx="8">
                  <c:v>16</c:v>
                </c:pt>
                <c:pt idx="9">
                  <c:v>0</c:v>
                </c:pt>
                <c:pt idx="10">
                  <c:v>0</c:v>
                </c:pt>
                <c:pt idx="11">
                  <c:v>18</c:v>
                </c:pt>
                <c:pt idx="12">
                  <c:v>23</c:v>
                </c:pt>
                <c:pt idx="13">
                  <c:v>15</c:v>
                </c:pt>
                <c:pt idx="14">
                  <c:v>0</c:v>
                </c:pt>
                <c:pt idx="15">
                  <c:v>0</c:v>
                </c:pt>
                <c:pt idx="16">
                  <c:v>22</c:v>
                </c:pt>
                <c:pt idx="17">
                  <c:v>0</c:v>
                </c:pt>
                <c:pt idx="18">
                  <c:v>0</c:v>
                </c:pt>
                <c:pt idx="19">
                  <c:v>0</c:v>
                </c:pt>
                <c:pt idx="20">
                  <c:v>8</c:v>
                </c:pt>
                <c:pt idx="21">
                  <c:v>0</c:v>
                </c:pt>
                <c:pt idx="22">
                  <c:v>11</c:v>
                </c:pt>
                <c:pt idx="23">
                  <c:v>0</c:v>
                </c:pt>
              </c:numCache>
            </c:numRef>
          </c:val>
          <c:extLst>
            <c:ext xmlns:c16="http://schemas.microsoft.com/office/drawing/2014/chart" uri="{C3380CC4-5D6E-409C-BE32-E72D297353CC}">
              <c16:uniqueId val="{00000000-100D-4C20-B888-783B6CF3CB42}"/>
            </c:ext>
          </c:extLst>
        </c:ser>
        <c:dLbls>
          <c:showLegendKey val="0"/>
          <c:showVal val="0"/>
          <c:showCatName val="0"/>
          <c:showSerName val="0"/>
          <c:showPercent val="0"/>
          <c:showBubbleSize val="0"/>
        </c:dLbls>
        <c:gapWidth val="150"/>
        <c:axId val="676501832"/>
        <c:axId val="676502224"/>
      </c:barChart>
      <c:catAx>
        <c:axId val="676501832"/>
        <c:scaling>
          <c:orientation val="minMax"/>
        </c:scaling>
        <c:delete val="0"/>
        <c:axPos val="b"/>
        <c:numFmt formatCode="General" sourceLinked="0"/>
        <c:majorTickMark val="out"/>
        <c:minorTickMark val="none"/>
        <c:tickLblPos val="nextTo"/>
        <c:txPr>
          <a:bodyPr rot="2100000" vert="horz" anchor="t" anchorCtr="0"/>
          <a:lstStyle/>
          <a:p>
            <a:pPr>
              <a:defRPr/>
            </a:pPr>
            <a:endParaRPr lang="en-US"/>
          </a:p>
        </c:txPr>
        <c:crossAx val="676502224"/>
        <c:crosses val="autoZero"/>
        <c:auto val="1"/>
        <c:lblAlgn val="ctr"/>
        <c:lblOffset val="100"/>
        <c:noMultiLvlLbl val="0"/>
      </c:catAx>
      <c:valAx>
        <c:axId val="676502224"/>
        <c:scaling>
          <c:orientation val="minMax"/>
        </c:scaling>
        <c:delete val="0"/>
        <c:axPos val="l"/>
        <c:majorGridlines/>
        <c:numFmt formatCode="General" sourceLinked="1"/>
        <c:majorTickMark val="out"/>
        <c:minorTickMark val="none"/>
        <c:tickLblPos val="nextTo"/>
        <c:crossAx val="676501832"/>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Area</a:t>
            </a:r>
            <a:r>
              <a:rPr lang="en-US" baseline="0"/>
              <a:t>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1070197866650562E-2"/>
          <c:y val="0.24744843579166645"/>
          <c:w val="0.92549248563059294"/>
          <c:h val="0.66245206478951657"/>
        </c:manualLayout>
      </c:layout>
      <c:barChart>
        <c:barDir val="col"/>
        <c:grouping val="clustered"/>
        <c:varyColors val="0"/>
        <c:ser>
          <c:idx val="0"/>
          <c:order val="0"/>
          <c:tx>
            <c:strRef>
              <c:f>'Area Data'!$A$29</c:f>
              <c:strCache>
                <c:ptCount val="1"/>
                <c:pt idx="0">
                  <c:v>Incidents </c:v>
                </c:pt>
              </c:strCache>
            </c:strRef>
          </c:tx>
          <c:spPr>
            <a:solidFill>
              <a:schemeClr val="accent1"/>
            </a:solidFill>
            <a:ln>
              <a:noFill/>
            </a:ln>
            <a:effectLst/>
          </c:spPr>
          <c:invertIfNegative val="0"/>
          <c:cat>
            <c:strRef>
              <c:extLst>
                <c:ext xmlns:c15="http://schemas.microsoft.com/office/drawing/2012/chart" uri="{02D57815-91ED-43cb-92C2-25804820EDAC}">
                  <c15:fullRef>
                    <c15:sqref>'Area Data'!$B$48:$B$61</c15:sqref>
                  </c15:fullRef>
                </c:ext>
              </c:extLst>
              <c:f>('Area Data'!$B$48:$B$51,'Area Data'!$B$53:$B$54,'Area Data'!$B$57,'Area Data'!$B$60:$B$61)</c:f>
              <c:strCache>
                <c:ptCount val="9"/>
                <c:pt idx="0">
                  <c:v>100</c:v>
                </c:pt>
                <c:pt idx="1">
                  <c:v>200</c:v>
                </c:pt>
                <c:pt idx="2">
                  <c:v>300</c:v>
                </c:pt>
                <c:pt idx="3">
                  <c:v>400</c:v>
                </c:pt>
                <c:pt idx="4">
                  <c:v>600</c:v>
                </c:pt>
                <c:pt idx="5">
                  <c:v>700</c:v>
                </c:pt>
                <c:pt idx="6">
                  <c:v>WHSE</c:v>
                </c:pt>
                <c:pt idx="7">
                  <c:v>Mundy</c:v>
                </c:pt>
                <c:pt idx="8">
                  <c:v>3rd Party </c:v>
                </c:pt>
              </c:strCache>
            </c:strRef>
          </c:cat>
          <c:val>
            <c:numRef>
              <c:extLst>
                <c:ext xmlns:c15="http://schemas.microsoft.com/office/drawing/2012/chart" uri="{02D57815-91ED-43cb-92C2-25804820EDAC}">
                  <c15:fullRef>
                    <c15:sqref>'Area Data'!$C$30:$C$43</c15:sqref>
                  </c15:fullRef>
                </c:ext>
              </c:extLst>
              <c:f>('Area Data'!$C$30:$C$33,'Area Data'!$C$35:$C$36,'Area Data'!$C$39,'Area Data'!$C$42:$C$43)</c:f>
              <c:numCache>
                <c:formatCode>General</c:formatCode>
                <c:ptCount val="9"/>
                <c:pt idx="0">
                  <c:v>2</c:v>
                </c:pt>
                <c:pt idx="1">
                  <c:v>4</c:v>
                </c:pt>
                <c:pt idx="2">
                  <c:v>2</c:v>
                </c:pt>
                <c:pt idx="3">
                  <c:v>4</c:v>
                </c:pt>
                <c:pt idx="4">
                  <c:v>3</c:v>
                </c:pt>
                <c:pt idx="5">
                  <c:v>2</c:v>
                </c:pt>
                <c:pt idx="6">
                  <c:v>2</c:v>
                </c:pt>
                <c:pt idx="7">
                  <c:v>14</c:v>
                </c:pt>
                <c:pt idx="8">
                  <c:v>6</c:v>
                </c:pt>
              </c:numCache>
            </c:numRef>
          </c:val>
          <c:extLst>
            <c:ext xmlns:c16="http://schemas.microsoft.com/office/drawing/2014/chart" uri="{C3380CC4-5D6E-409C-BE32-E72D297353CC}">
              <c16:uniqueId val="{00000000-70AB-4D7F-8642-A0769BEAAEA9}"/>
            </c:ext>
          </c:extLst>
        </c:ser>
        <c:ser>
          <c:idx val="1"/>
          <c:order val="1"/>
          <c:tx>
            <c:strRef>
              <c:f>'Area Data'!$A$47</c:f>
              <c:strCache>
                <c:ptCount val="1"/>
                <c:pt idx="0">
                  <c:v>Human Error</c:v>
                </c:pt>
              </c:strCache>
            </c:strRef>
          </c:tx>
          <c:spPr>
            <a:solidFill>
              <a:schemeClr val="accent2"/>
            </a:solidFill>
            <a:ln>
              <a:noFill/>
            </a:ln>
            <a:effectLst/>
          </c:spPr>
          <c:invertIfNegative val="0"/>
          <c:cat>
            <c:strRef>
              <c:extLst>
                <c:ext xmlns:c15="http://schemas.microsoft.com/office/drawing/2012/chart" uri="{02D57815-91ED-43cb-92C2-25804820EDAC}">
                  <c15:fullRef>
                    <c15:sqref>'Area Data'!$B$48:$B$61</c15:sqref>
                  </c15:fullRef>
                </c:ext>
              </c:extLst>
              <c:f>('Area Data'!$B$48:$B$51,'Area Data'!$B$53:$B$54,'Area Data'!$B$57,'Area Data'!$B$60:$B$61)</c:f>
              <c:strCache>
                <c:ptCount val="9"/>
                <c:pt idx="0">
                  <c:v>100</c:v>
                </c:pt>
                <c:pt idx="1">
                  <c:v>200</c:v>
                </c:pt>
                <c:pt idx="2">
                  <c:v>300</c:v>
                </c:pt>
                <c:pt idx="3">
                  <c:v>400</c:v>
                </c:pt>
                <c:pt idx="4">
                  <c:v>600</c:v>
                </c:pt>
                <c:pt idx="5">
                  <c:v>700</c:v>
                </c:pt>
                <c:pt idx="6">
                  <c:v>WHSE</c:v>
                </c:pt>
                <c:pt idx="7">
                  <c:v>Mundy</c:v>
                </c:pt>
                <c:pt idx="8">
                  <c:v>3rd Party </c:v>
                </c:pt>
              </c:strCache>
            </c:strRef>
          </c:cat>
          <c:val>
            <c:numRef>
              <c:extLst>
                <c:ext xmlns:c15="http://schemas.microsoft.com/office/drawing/2012/chart" uri="{02D57815-91ED-43cb-92C2-25804820EDAC}">
                  <c15:fullRef>
                    <c15:sqref>'Area Data'!$C$48:$C$61</c15:sqref>
                  </c15:fullRef>
                </c:ext>
              </c:extLst>
              <c:f>('Area Data'!$C$48:$C$51,'Area Data'!$C$53:$C$54,'Area Data'!$C$57,'Area Data'!$C$60:$C$61)</c:f>
              <c:numCache>
                <c:formatCode>General</c:formatCode>
                <c:ptCount val="9"/>
                <c:pt idx="1">
                  <c:v>2</c:v>
                </c:pt>
                <c:pt idx="3">
                  <c:v>1</c:v>
                </c:pt>
                <c:pt idx="4">
                  <c:v>2</c:v>
                </c:pt>
                <c:pt idx="5">
                  <c:v>1</c:v>
                </c:pt>
                <c:pt idx="6">
                  <c:v>1</c:v>
                </c:pt>
                <c:pt idx="7">
                  <c:v>13</c:v>
                </c:pt>
                <c:pt idx="8">
                  <c:v>6</c:v>
                </c:pt>
              </c:numCache>
            </c:numRef>
          </c:val>
          <c:extLst>
            <c:ext xmlns:c16="http://schemas.microsoft.com/office/drawing/2014/chart" uri="{C3380CC4-5D6E-409C-BE32-E72D297353CC}">
              <c16:uniqueId val="{00000002-70AB-4D7F-8642-A0769BEAAEA9}"/>
            </c:ext>
          </c:extLst>
        </c:ser>
        <c:dLbls>
          <c:showLegendKey val="0"/>
          <c:showVal val="0"/>
          <c:showCatName val="0"/>
          <c:showSerName val="0"/>
          <c:showPercent val="0"/>
          <c:showBubbleSize val="0"/>
        </c:dLbls>
        <c:gapWidth val="219"/>
        <c:axId val="53734735"/>
        <c:axId val="1622666207"/>
      </c:barChart>
      <c:catAx>
        <c:axId val="53734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666207"/>
        <c:crosses val="autoZero"/>
        <c:auto val="1"/>
        <c:lblAlgn val="ctr"/>
        <c:lblOffset val="100"/>
        <c:noMultiLvlLbl val="0"/>
      </c:catAx>
      <c:valAx>
        <c:axId val="16226662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3473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Incident</a:t>
            </a:r>
            <a:r>
              <a:rPr lang="en-US" baseline="0"/>
              <a:t> Type by Area</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'Area Data'!$C$7</c:f>
              <c:strCache>
                <c:ptCount val="1"/>
                <c:pt idx="0">
                  <c:v>First Aid</c:v>
                </c:pt>
              </c:strCache>
              <c:extLst xmlns:c15="http://schemas.microsoft.com/office/drawing/2012/chart"/>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'Area Data'!$B$9:$B$22</c15:sqref>
                  </c15:fullRef>
                </c:ext>
              </c:extLst>
              <c:f>('Area Data'!$B$9:$B$15,'Area Data'!$B$18:$B$22)</c:f>
              <c:strCache>
                <c:ptCount val="12"/>
                <c:pt idx="0">
                  <c:v>100</c:v>
                </c:pt>
                <c:pt idx="1">
                  <c:v>200</c:v>
                </c:pt>
                <c:pt idx="2">
                  <c:v>300</c:v>
                </c:pt>
                <c:pt idx="3">
                  <c:v>400</c:v>
                </c:pt>
                <c:pt idx="4">
                  <c:v>500</c:v>
                </c:pt>
                <c:pt idx="5">
                  <c:v>600</c:v>
                </c:pt>
                <c:pt idx="6">
                  <c:v>700</c:v>
                </c:pt>
                <c:pt idx="7">
                  <c:v>WHSE</c:v>
                </c:pt>
                <c:pt idx="8">
                  <c:v>Maint</c:v>
                </c:pt>
                <c:pt idx="9">
                  <c:v>Lab</c:v>
                </c:pt>
                <c:pt idx="10">
                  <c:v>Mundy</c:v>
                </c:pt>
                <c:pt idx="11">
                  <c:v>3rd Patry</c:v>
                </c:pt>
              </c:strCache>
            </c:strRef>
          </c:cat>
          <c:val>
            <c:numRef>
              <c:extLst>
                <c:ext xmlns:c15="http://schemas.microsoft.com/office/drawing/2012/chart" uri="{02D57815-91ED-43cb-92C2-25804820EDAC}">
                  <c15:fullRef>
                    <c15:sqref>'Area Data'!$C$8:$C$22</c15:sqref>
                  </c15:fullRef>
                </c:ext>
              </c:extLst>
              <c:f>('Area Data'!$C$8:$C$14,'Area Data'!$C$17:$C$22)</c:f>
              <c:numCache>
                <c:formatCode>General</c:formatCode>
                <c:ptCount val="13"/>
                <c:pt idx="2">
                  <c:v>1</c:v>
                </c:pt>
                <c:pt idx="6">
                  <c:v>1</c:v>
                </c:pt>
                <c:pt idx="11">
                  <c:v>2</c:v>
                </c:pt>
                <c:pt idx="12">
                  <c:v>1</c:v>
                </c:pt>
              </c:numCache>
            </c:numRef>
          </c:val>
          <c:extLst xmlns:c15="http://schemas.microsoft.com/office/drawing/2012/chart">
            <c:ext xmlns:c16="http://schemas.microsoft.com/office/drawing/2014/chart" uri="{C3380CC4-5D6E-409C-BE32-E72D297353CC}">
              <c16:uniqueId val="{00000000-B4BA-4B5F-A3F1-A59A775871AA}"/>
            </c:ext>
          </c:extLst>
        </c:ser>
        <c:ser>
          <c:idx val="5"/>
          <c:order val="5"/>
          <c:tx>
            <c:strRef>
              <c:f>'Area Data'!$I$7</c:f>
              <c:strCache>
                <c:ptCount val="1"/>
                <c:pt idx="0">
                  <c:v>Spill/ Release Release</c:v>
                </c:pt>
              </c:strCache>
              <c:extLst xmlns:c15="http://schemas.microsoft.com/office/drawing/2012/chart"/>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'Area Data'!$B$9:$B$22</c15:sqref>
                  </c15:fullRef>
                </c:ext>
              </c:extLst>
              <c:f>('Area Data'!$B$9:$B$15,'Area Data'!$B$18:$B$22)</c:f>
              <c:strCache>
                <c:ptCount val="12"/>
                <c:pt idx="0">
                  <c:v>100</c:v>
                </c:pt>
                <c:pt idx="1">
                  <c:v>200</c:v>
                </c:pt>
                <c:pt idx="2">
                  <c:v>300</c:v>
                </c:pt>
                <c:pt idx="3">
                  <c:v>400</c:v>
                </c:pt>
                <c:pt idx="4">
                  <c:v>500</c:v>
                </c:pt>
                <c:pt idx="5">
                  <c:v>600</c:v>
                </c:pt>
                <c:pt idx="6">
                  <c:v>700</c:v>
                </c:pt>
                <c:pt idx="7">
                  <c:v>WHSE</c:v>
                </c:pt>
                <c:pt idx="8">
                  <c:v>Maint</c:v>
                </c:pt>
                <c:pt idx="9">
                  <c:v>Lab</c:v>
                </c:pt>
                <c:pt idx="10">
                  <c:v>Mundy</c:v>
                </c:pt>
                <c:pt idx="11">
                  <c:v>3rd Patry</c:v>
                </c:pt>
              </c:strCache>
            </c:strRef>
          </c:cat>
          <c:val>
            <c:numRef>
              <c:extLst>
                <c:ext xmlns:c15="http://schemas.microsoft.com/office/drawing/2012/chart" uri="{02D57815-91ED-43cb-92C2-25804820EDAC}">
                  <c15:fullRef>
                    <c15:sqref>'Area Data'!$I$8:$I$22</c15:sqref>
                  </c15:fullRef>
                </c:ext>
              </c:extLst>
              <c:f>('Area Data'!$I$8:$I$14,'Area Data'!$I$17:$I$22)</c:f>
              <c:numCache>
                <c:formatCode>General</c:formatCode>
                <c:ptCount val="13"/>
                <c:pt idx="1">
                  <c:v>2</c:v>
                </c:pt>
                <c:pt idx="2">
                  <c:v>3</c:v>
                </c:pt>
                <c:pt idx="3">
                  <c:v>2</c:v>
                </c:pt>
                <c:pt idx="4">
                  <c:v>3</c:v>
                </c:pt>
                <c:pt idx="5">
                  <c:v>2</c:v>
                </c:pt>
                <c:pt idx="6">
                  <c:v>1</c:v>
                </c:pt>
              </c:numCache>
            </c:numRef>
          </c:val>
          <c:extLst xmlns:c15="http://schemas.microsoft.com/office/drawing/2012/chart">
            <c:ext xmlns:c16="http://schemas.microsoft.com/office/drawing/2014/chart" uri="{C3380CC4-5D6E-409C-BE32-E72D297353CC}">
              <c16:uniqueId val="{00000005-B4BA-4B5F-A3F1-A59A775871AA}"/>
            </c:ext>
          </c:extLst>
        </c:ser>
        <c:ser>
          <c:idx val="6"/>
          <c:order val="6"/>
          <c:tx>
            <c:strRef>
              <c:f>'Area Data'!$J$7</c:f>
              <c:strCache>
                <c:ptCount val="1"/>
                <c:pt idx="0">
                  <c:v>Fire</c:v>
                </c:pt>
              </c:strCache>
            </c:strRef>
          </c:tx>
          <c:spPr>
            <a:solidFill>
              <a:srgbClr val="FFC000"/>
            </a:solidFill>
            <a:ln>
              <a:solidFill>
                <a:srgbClr val="FFC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'Area Data'!$B$9:$B$22</c15:sqref>
                  </c15:fullRef>
                </c:ext>
              </c:extLst>
              <c:f>('Area Data'!$B$9:$B$15,'Area Data'!$B$18:$B$22)</c:f>
              <c:strCache>
                <c:ptCount val="12"/>
                <c:pt idx="0">
                  <c:v>100</c:v>
                </c:pt>
                <c:pt idx="1">
                  <c:v>200</c:v>
                </c:pt>
                <c:pt idx="2">
                  <c:v>300</c:v>
                </c:pt>
                <c:pt idx="3">
                  <c:v>400</c:v>
                </c:pt>
                <c:pt idx="4">
                  <c:v>500</c:v>
                </c:pt>
                <c:pt idx="5">
                  <c:v>600</c:v>
                </c:pt>
                <c:pt idx="6">
                  <c:v>700</c:v>
                </c:pt>
                <c:pt idx="7">
                  <c:v>WHSE</c:v>
                </c:pt>
                <c:pt idx="8">
                  <c:v>Maint</c:v>
                </c:pt>
                <c:pt idx="9">
                  <c:v>Lab</c:v>
                </c:pt>
                <c:pt idx="10">
                  <c:v>Mundy</c:v>
                </c:pt>
                <c:pt idx="11">
                  <c:v>3rd Patry</c:v>
                </c:pt>
              </c:strCache>
            </c:strRef>
          </c:cat>
          <c:val>
            <c:numRef>
              <c:extLst>
                <c:ext xmlns:c15="http://schemas.microsoft.com/office/drawing/2012/chart" uri="{02D57815-91ED-43cb-92C2-25804820EDAC}">
                  <c15:fullRef>
                    <c15:sqref>'Area Data'!$J$8:$J$22</c15:sqref>
                  </c15:fullRef>
                </c:ext>
              </c:extLst>
              <c:f>('Area Data'!$J$8:$J$14,'Area Data'!$J$17:$J$22)</c:f>
              <c:numCache>
                <c:formatCode>General</c:formatCode>
                <c:ptCount val="13"/>
                <c:pt idx="11">
                  <c:v>1</c:v>
                </c:pt>
              </c:numCache>
            </c:numRef>
          </c:val>
          <c:extLst>
            <c:ext xmlns:c16="http://schemas.microsoft.com/office/drawing/2014/chart" uri="{C3380CC4-5D6E-409C-BE32-E72D297353CC}">
              <c16:uniqueId val="{00000006-B4BA-4B5F-A3F1-A59A775871AA}"/>
            </c:ext>
          </c:extLst>
        </c:ser>
        <c:ser>
          <c:idx val="7"/>
          <c:order val="7"/>
          <c:tx>
            <c:strRef>
              <c:f>'Area Data'!$K$7</c:f>
              <c:strCache>
                <c:ptCount val="1"/>
                <c:pt idx="0">
                  <c:v>Powered Industrial Vehicle Accident</c:v>
                </c:pt>
              </c:strCache>
              <c:extLst xmlns:c15="http://schemas.microsoft.com/office/drawing/2012/chart"/>
            </c:strRef>
          </c:tx>
          <c:spPr>
            <a:solidFill>
              <a:schemeClr val="accent2">
                <a:lumMod val="60000"/>
              </a:schemeClr>
            </a:solidFill>
            <a:ln>
              <a:noFill/>
            </a:ln>
            <a:effectLst/>
          </c:spPr>
          <c:invertIfNegative val="0"/>
          <c:cat>
            <c:strRef>
              <c:extLst>
                <c:ext xmlns:c15="http://schemas.microsoft.com/office/drawing/2012/chart" uri="{02D57815-91ED-43cb-92C2-25804820EDAC}">
                  <c15:fullRef>
                    <c15:sqref>'Area Data'!$B$9:$B$22</c15:sqref>
                  </c15:fullRef>
                </c:ext>
              </c:extLst>
              <c:f>('Area Data'!$B$9:$B$15,'Area Data'!$B$18:$B$22)</c:f>
              <c:strCache>
                <c:ptCount val="12"/>
                <c:pt idx="0">
                  <c:v>100</c:v>
                </c:pt>
                <c:pt idx="1">
                  <c:v>200</c:v>
                </c:pt>
                <c:pt idx="2">
                  <c:v>300</c:v>
                </c:pt>
                <c:pt idx="3">
                  <c:v>400</c:v>
                </c:pt>
                <c:pt idx="4">
                  <c:v>500</c:v>
                </c:pt>
                <c:pt idx="5">
                  <c:v>600</c:v>
                </c:pt>
                <c:pt idx="6">
                  <c:v>700</c:v>
                </c:pt>
                <c:pt idx="7">
                  <c:v>WHSE</c:v>
                </c:pt>
                <c:pt idx="8">
                  <c:v>Maint</c:v>
                </c:pt>
                <c:pt idx="9">
                  <c:v>Lab</c:v>
                </c:pt>
                <c:pt idx="10">
                  <c:v>Mundy</c:v>
                </c:pt>
                <c:pt idx="11">
                  <c:v>3rd Patry</c:v>
                </c:pt>
              </c:strCache>
            </c:strRef>
          </c:cat>
          <c:val>
            <c:numRef>
              <c:extLst>
                <c:ext xmlns:c15="http://schemas.microsoft.com/office/drawing/2012/chart" uri="{02D57815-91ED-43cb-92C2-25804820EDAC}">
                  <c15:fullRef>
                    <c15:sqref>'Area Data'!$K$8:$K$22</c15:sqref>
                  </c15:fullRef>
                </c:ext>
              </c:extLst>
              <c:f>('Area Data'!$K$8:$K$14,'Area Data'!$K$17:$K$22)</c:f>
              <c:numCache>
                <c:formatCode>General</c:formatCode>
                <c:ptCount val="13"/>
                <c:pt idx="8">
                  <c:v>1</c:v>
                </c:pt>
                <c:pt idx="11">
                  <c:v>8</c:v>
                </c:pt>
              </c:numCache>
            </c:numRef>
          </c:val>
          <c:extLst xmlns:c15="http://schemas.microsoft.com/office/drawing/2012/chart">
            <c:ext xmlns:c16="http://schemas.microsoft.com/office/drawing/2014/chart" uri="{C3380CC4-5D6E-409C-BE32-E72D297353CC}">
              <c16:uniqueId val="{00000007-B4BA-4B5F-A3F1-A59A775871AA}"/>
            </c:ext>
          </c:extLst>
        </c:ser>
        <c:ser>
          <c:idx val="8"/>
          <c:order val="8"/>
          <c:tx>
            <c:strRef>
              <c:f>'Area Data'!$L$7</c:f>
              <c:strCache>
                <c:ptCount val="1"/>
                <c:pt idx="0">
                  <c:v>Property/ Equipment Damage</c:v>
                </c:pt>
              </c:strCache>
              <c:extLst xmlns:c15="http://schemas.microsoft.com/office/drawing/2012/chart"/>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'Area Data'!$B$9:$B$22</c15:sqref>
                  </c15:fullRef>
                </c:ext>
              </c:extLst>
              <c:f>('Area Data'!$B$9:$B$15,'Area Data'!$B$18:$B$22)</c:f>
              <c:strCache>
                <c:ptCount val="12"/>
                <c:pt idx="0">
                  <c:v>100</c:v>
                </c:pt>
                <c:pt idx="1">
                  <c:v>200</c:v>
                </c:pt>
                <c:pt idx="2">
                  <c:v>300</c:v>
                </c:pt>
                <c:pt idx="3">
                  <c:v>400</c:v>
                </c:pt>
                <c:pt idx="4">
                  <c:v>500</c:v>
                </c:pt>
                <c:pt idx="5">
                  <c:v>600</c:v>
                </c:pt>
                <c:pt idx="6">
                  <c:v>700</c:v>
                </c:pt>
                <c:pt idx="7">
                  <c:v>WHSE</c:v>
                </c:pt>
                <c:pt idx="8">
                  <c:v>Maint</c:v>
                </c:pt>
                <c:pt idx="9">
                  <c:v>Lab</c:v>
                </c:pt>
                <c:pt idx="10">
                  <c:v>Mundy</c:v>
                </c:pt>
                <c:pt idx="11">
                  <c:v>3rd Patry</c:v>
                </c:pt>
              </c:strCache>
            </c:strRef>
          </c:cat>
          <c:val>
            <c:numRef>
              <c:extLst>
                <c:ext xmlns:c15="http://schemas.microsoft.com/office/drawing/2012/chart" uri="{02D57815-91ED-43cb-92C2-25804820EDAC}">
                  <c15:fullRef>
                    <c15:sqref>'Area Data'!$L$8:$L$22</c15:sqref>
                  </c15:fullRef>
                </c:ext>
              </c:extLst>
              <c:f>('Area Data'!$L$8:$L$14,'Area Data'!$L$17:$L$22)</c:f>
              <c:numCache>
                <c:formatCode>General</c:formatCode>
                <c:ptCount val="13"/>
                <c:pt idx="4">
                  <c:v>1</c:v>
                </c:pt>
                <c:pt idx="6">
                  <c:v>1</c:v>
                </c:pt>
                <c:pt idx="8">
                  <c:v>1</c:v>
                </c:pt>
                <c:pt idx="11">
                  <c:v>7</c:v>
                </c:pt>
                <c:pt idx="12">
                  <c:v>2</c:v>
                </c:pt>
              </c:numCache>
            </c:numRef>
          </c:val>
          <c:extLst xmlns:c15="http://schemas.microsoft.com/office/drawing/2012/chart">
            <c:ext xmlns:c16="http://schemas.microsoft.com/office/drawing/2014/chart" uri="{C3380CC4-5D6E-409C-BE32-E72D297353CC}">
              <c16:uniqueId val="{00000008-B4BA-4B5F-A3F1-A59A775871AA}"/>
            </c:ext>
          </c:extLst>
        </c:ser>
        <c:ser>
          <c:idx val="9"/>
          <c:order val="9"/>
          <c:tx>
            <c:strRef>
              <c:f>'Area Data'!$M$7</c:f>
              <c:strCache>
                <c:ptCount val="1"/>
                <c:pt idx="0">
                  <c:v>Equipment Failure </c:v>
                </c:pt>
              </c:strCache>
              <c:extLst xmlns:c15="http://schemas.microsoft.com/office/drawing/2012/chart"/>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'Area Data'!$B$9:$B$22</c15:sqref>
                  </c15:fullRef>
                </c:ext>
              </c:extLst>
              <c:f>('Area Data'!$B$9:$B$15,'Area Data'!$B$18:$B$22)</c:f>
              <c:strCache>
                <c:ptCount val="12"/>
                <c:pt idx="0">
                  <c:v>100</c:v>
                </c:pt>
                <c:pt idx="1">
                  <c:v>200</c:v>
                </c:pt>
                <c:pt idx="2">
                  <c:v>300</c:v>
                </c:pt>
                <c:pt idx="3">
                  <c:v>400</c:v>
                </c:pt>
                <c:pt idx="4">
                  <c:v>500</c:v>
                </c:pt>
                <c:pt idx="5">
                  <c:v>600</c:v>
                </c:pt>
                <c:pt idx="6">
                  <c:v>700</c:v>
                </c:pt>
                <c:pt idx="7">
                  <c:v>WHSE</c:v>
                </c:pt>
                <c:pt idx="8">
                  <c:v>Maint</c:v>
                </c:pt>
                <c:pt idx="9">
                  <c:v>Lab</c:v>
                </c:pt>
                <c:pt idx="10">
                  <c:v>Mundy</c:v>
                </c:pt>
                <c:pt idx="11">
                  <c:v>3rd Patry</c:v>
                </c:pt>
              </c:strCache>
            </c:strRef>
          </c:cat>
          <c:val>
            <c:numRef>
              <c:extLst>
                <c:ext xmlns:c15="http://schemas.microsoft.com/office/drawing/2012/chart" uri="{02D57815-91ED-43cb-92C2-25804820EDAC}">
                  <c15:fullRef>
                    <c15:sqref>'Area Data'!$M$8:$M$22</c15:sqref>
                  </c15:fullRef>
                </c:ext>
              </c:extLst>
              <c:f>('Area Data'!$M$8:$M$14,'Area Data'!$M$17:$M$22)</c:f>
              <c:numCache>
                <c:formatCode>General</c:formatCode>
                <c:ptCount val="13"/>
              </c:numCache>
            </c:numRef>
          </c:val>
          <c:extLst xmlns:c15="http://schemas.microsoft.com/office/drawing/2012/chart">
            <c:ext xmlns:c16="http://schemas.microsoft.com/office/drawing/2014/chart" uri="{C3380CC4-5D6E-409C-BE32-E72D297353CC}">
              <c16:uniqueId val="{00000009-B4BA-4B5F-A3F1-A59A775871AA}"/>
            </c:ext>
          </c:extLst>
        </c:ser>
        <c:ser>
          <c:idx val="11"/>
          <c:order val="11"/>
          <c:tx>
            <c:strRef>
              <c:f>'Area Data'!$P$7</c:f>
              <c:strCache>
                <c:ptCount val="1"/>
                <c:pt idx="0">
                  <c:v>PSIF</c:v>
                </c:pt>
              </c:strCache>
              <c:extLst xmlns:c15="http://schemas.microsoft.com/office/drawing/2012/chart"/>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'Area Data'!$B$9:$B$22</c15:sqref>
                  </c15:fullRef>
                </c:ext>
              </c:extLst>
              <c:f>('Area Data'!$B$9:$B$15,'Area Data'!$B$18:$B$22)</c:f>
              <c:strCache>
                <c:ptCount val="12"/>
                <c:pt idx="0">
                  <c:v>100</c:v>
                </c:pt>
                <c:pt idx="1">
                  <c:v>200</c:v>
                </c:pt>
                <c:pt idx="2">
                  <c:v>300</c:v>
                </c:pt>
                <c:pt idx="3">
                  <c:v>400</c:v>
                </c:pt>
                <c:pt idx="4">
                  <c:v>500</c:v>
                </c:pt>
                <c:pt idx="5">
                  <c:v>600</c:v>
                </c:pt>
                <c:pt idx="6">
                  <c:v>700</c:v>
                </c:pt>
                <c:pt idx="7">
                  <c:v>WHSE</c:v>
                </c:pt>
                <c:pt idx="8">
                  <c:v>Maint</c:v>
                </c:pt>
                <c:pt idx="9">
                  <c:v>Lab</c:v>
                </c:pt>
                <c:pt idx="10">
                  <c:v>Mundy</c:v>
                </c:pt>
                <c:pt idx="11">
                  <c:v>3rd Patry</c:v>
                </c:pt>
              </c:strCache>
            </c:strRef>
          </c:cat>
          <c:val>
            <c:numRef>
              <c:extLst>
                <c:ext xmlns:c15="http://schemas.microsoft.com/office/drawing/2012/chart" uri="{02D57815-91ED-43cb-92C2-25804820EDAC}">
                  <c15:fullRef>
                    <c15:sqref>'Area Data'!$P$8:$P$22</c15:sqref>
                  </c15:fullRef>
                </c:ext>
              </c:extLst>
              <c:f>('Area Data'!$P$8:$P$14,'Area Data'!$P$17:$P$22)</c:f>
              <c:numCache>
                <c:formatCode>General</c:formatCode>
                <c:ptCount val="13"/>
                <c:pt idx="11">
                  <c:v>4</c:v>
                </c:pt>
              </c:numCache>
            </c:numRef>
          </c:val>
          <c:extLst xmlns:c15="http://schemas.microsoft.com/office/drawing/2012/chart">
            <c:ext xmlns:c16="http://schemas.microsoft.com/office/drawing/2014/chart" uri="{C3380CC4-5D6E-409C-BE32-E72D297353CC}">
              <c16:uniqueId val="{0000000B-B4BA-4B5F-A3F1-A59A775871AA}"/>
            </c:ext>
          </c:extLst>
        </c:ser>
        <c:ser>
          <c:idx val="12"/>
          <c:order val="12"/>
          <c:tx>
            <c:strRef>
              <c:f>'Area Data'!$H$7</c:f>
              <c:strCache>
                <c:ptCount val="1"/>
                <c:pt idx="0">
                  <c:v>Hazardous Condition</c:v>
                </c:pt>
              </c:strCache>
            </c:strRef>
          </c:tx>
          <c:spPr>
            <a:solidFill>
              <a:schemeClr val="accent1">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'Area Data'!$B$9:$B$22</c15:sqref>
                  </c15:fullRef>
                </c:ext>
              </c:extLst>
              <c:f>('Area Data'!$B$9:$B$15,'Area Data'!$B$18:$B$22)</c:f>
              <c:strCache>
                <c:ptCount val="12"/>
                <c:pt idx="0">
                  <c:v>100</c:v>
                </c:pt>
                <c:pt idx="1">
                  <c:v>200</c:v>
                </c:pt>
                <c:pt idx="2">
                  <c:v>300</c:v>
                </c:pt>
                <c:pt idx="3">
                  <c:v>400</c:v>
                </c:pt>
                <c:pt idx="4">
                  <c:v>500</c:v>
                </c:pt>
                <c:pt idx="5">
                  <c:v>600</c:v>
                </c:pt>
                <c:pt idx="6">
                  <c:v>700</c:v>
                </c:pt>
                <c:pt idx="7">
                  <c:v>WHSE</c:v>
                </c:pt>
                <c:pt idx="8">
                  <c:v>Maint</c:v>
                </c:pt>
                <c:pt idx="9">
                  <c:v>Lab</c:v>
                </c:pt>
                <c:pt idx="10">
                  <c:v>Mundy</c:v>
                </c:pt>
                <c:pt idx="11">
                  <c:v>3rd Patry</c:v>
                </c:pt>
              </c:strCache>
            </c:strRef>
          </c:cat>
          <c:val>
            <c:numRef>
              <c:extLst>
                <c:ext xmlns:c15="http://schemas.microsoft.com/office/drawing/2012/chart" uri="{02D57815-91ED-43cb-92C2-25804820EDAC}">
                  <c15:fullRef>
                    <c15:sqref>'Area Data'!$H$9:$H$22</c15:sqref>
                  </c15:fullRef>
                </c:ext>
              </c:extLst>
              <c:f>('Area Data'!$H$9:$H$15,'Area Data'!$H$18:$H$22)</c:f>
              <c:numCache>
                <c:formatCode>General</c:formatCode>
                <c:ptCount val="12"/>
                <c:pt idx="6">
                  <c:v>1</c:v>
                </c:pt>
                <c:pt idx="7">
                  <c:v>1</c:v>
                </c:pt>
                <c:pt idx="11">
                  <c:v>2</c:v>
                </c:pt>
              </c:numCache>
            </c:numRef>
          </c:val>
          <c:extLst>
            <c:ext xmlns:c16="http://schemas.microsoft.com/office/drawing/2014/chart" uri="{C3380CC4-5D6E-409C-BE32-E72D297353CC}">
              <c16:uniqueId val="{00000000-50AE-43C5-9D25-E9D8F55A0B66}"/>
            </c:ext>
          </c:extLst>
        </c:ser>
        <c:ser>
          <c:idx val="13"/>
          <c:order val="13"/>
          <c:tx>
            <c:strRef>
              <c:f>'Area Data'!$N$7</c:f>
              <c:strCache>
                <c:ptCount val="1"/>
                <c:pt idx="0">
                  <c:v>Non-Work Related</c:v>
                </c:pt>
              </c:strCache>
            </c:strRef>
          </c:tx>
          <c:spPr>
            <a:solidFill>
              <a:schemeClr val="accent2">
                <a:lumMod val="80000"/>
                <a:lumOff val="20000"/>
              </a:schemeClr>
            </a:solidFill>
            <a:ln>
              <a:noFill/>
            </a:ln>
            <a:effectLst/>
          </c:spPr>
          <c:invertIfNegative val="0"/>
          <c:cat>
            <c:strRef>
              <c:extLst>
                <c:ext xmlns:c15="http://schemas.microsoft.com/office/drawing/2012/chart" uri="{02D57815-91ED-43cb-92C2-25804820EDAC}">
                  <c15:fullRef>
                    <c15:sqref>'Area Data'!$B$9:$B$22</c15:sqref>
                  </c15:fullRef>
                </c:ext>
              </c:extLst>
              <c:f>('Area Data'!$B$9:$B$15,'Area Data'!$B$18:$B$22)</c:f>
              <c:strCache>
                <c:ptCount val="12"/>
                <c:pt idx="0">
                  <c:v>100</c:v>
                </c:pt>
                <c:pt idx="1">
                  <c:v>200</c:v>
                </c:pt>
                <c:pt idx="2">
                  <c:v>300</c:v>
                </c:pt>
                <c:pt idx="3">
                  <c:v>400</c:v>
                </c:pt>
                <c:pt idx="4">
                  <c:v>500</c:v>
                </c:pt>
                <c:pt idx="5">
                  <c:v>600</c:v>
                </c:pt>
                <c:pt idx="6">
                  <c:v>700</c:v>
                </c:pt>
                <c:pt idx="7">
                  <c:v>WHSE</c:v>
                </c:pt>
                <c:pt idx="8">
                  <c:v>Maint</c:v>
                </c:pt>
                <c:pt idx="9">
                  <c:v>Lab</c:v>
                </c:pt>
                <c:pt idx="10">
                  <c:v>Mundy</c:v>
                </c:pt>
                <c:pt idx="11">
                  <c:v>3rd Patry</c:v>
                </c:pt>
              </c:strCache>
            </c:strRef>
          </c:cat>
          <c:val>
            <c:numRef>
              <c:extLst>
                <c:ext xmlns:c15="http://schemas.microsoft.com/office/drawing/2012/chart" uri="{02D57815-91ED-43cb-92C2-25804820EDAC}">
                  <c15:fullRef>
                    <c15:sqref>'Area Data'!$N$9:$N$22</c15:sqref>
                  </c15:fullRef>
                </c:ext>
              </c:extLst>
              <c:f>('Area Data'!$N$9:$N$15,'Area Data'!$N$18:$N$22)</c:f>
              <c:numCache>
                <c:formatCode>General</c:formatCode>
                <c:ptCount val="12"/>
                <c:pt idx="10">
                  <c:v>2</c:v>
                </c:pt>
                <c:pt idx="11">
                  <c:v>3</c:v>
                </c:pt>
              </c:numCache>
            </c:numRef>
          </c:val>
          <c:extLst>
            <c:ext xmlns:c16="http://schemas.microsoft.com/office/drawing/2014/chart" uri="{C3380CC4-5D6E-409C-BE32-E72D297353CC}">
              <c16:uniqueId val="{00000001-50AE-43C5-9D25-E9D8F55A0B66}"/>
            </c:ext>
          </c:extLst>
        </c:ser>
        <c:dLbls>
          <c:showLegendKey val="0"/>
          <c:showVal val="0"/>
          <c:showCatName val="0"/>
          <c:showSerName val="0"/>
          <c:showPercent val="0"/>
          <c:showBubbleSize val="0"/>
        </c:dLbls>
        <c:gapWidth val="219"/>
        <c:overlap val="-27"/>
        <c:axId val="1124751519"/>
        <c:axId val="1124749599"/>
        <c:extLst>
          <c:ext xmlns:c15="http://schemas.microsoft.com/office/drawing/2012/chart" uri="{02D57815-91ED-43cb-92C2-25804820EDAC}">
            <c15:filteredBarSeries>
              <c15:ser>
                <c:idx val="1"/>
                <c:order val="1"/>
                <c:tx>
                  <c:strRef>
                    <c:extLst>
                      <c:ext uri="{02D57815-91ED-43cb-92C2-25804820EDAC}">
                        <c15:formulaRef>
                          <c15:sqref>'Area Data'!$D$7</c15:sqref>
                        </c15:formulaRef>
                      </c:ext>
                    </c:extLst>
                    <c:strCache>
                      <c:ptCount val="1"/>
                      <c:pt idx="0">
                        <c:v>Recordable Injury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'Area Data'!$B$9:$B$22</c15:sqref>
                        </c15:fullRef>
                        <c15:formulaRef>
                          <c15:sqref>('Area Data'!$B$9:$B$15,'Area Data'!$B$18:$B$22)</c15:sqref>
                        </c15:formulaRef>
                      </c:ext>
                    </c:extLst>
                    <c:strCache>
                      <c:ptCount val="12"/>
                      <c:pt idx="0">
                        <c:v>100</c:v>
                      </c:pt>
                      <c:pt idx="1">
                        <c:v>200</c:v>
                      </c:pt>
                      <c:pt idx="2">
                        <c:v>300</c:v>
                      </c:pt>
                      <c:pt idx="3">
                        <c:v>400</c:v>
                      </c:pt>
                      <c:pt idx="4">
                        <c:v>500</c:v>
                      </c:pt>
                      <c:pt idx="5">
                        <c:v>600</c:v>
                      </c:pt>
                      <c:pt idx="6">
                        <c:v>700</c:v>
                      </c:pt>
                      <c:pt idx="7">
                        <c:v>WHSE</c:v>
                      </c:pt>
                      <c:pt idx="8">
                        <c:v>Maint</c:v>
                      </c:pt>
                      <c:pt idx="9">
                        <c:v>Lab</c:v>
                      </c:pt>
                      <c:pt idx="10">
                        <c:v>Mundy</c:v>
                      </c:pt>
                      <c:pt idx="11">
                        <c:v>3rd Patry</c:v>
                      </c:pt>
                    </c:strCache>
                  </c:strRef>
                </c:cat>
                <c:val>
                  <c:numRef>
                    <c:extLst>
                      <c:ext uri="{02D57815-91ED-43cb-92C2-25804820EDAC}">
                        <c15:fullRef>
                          <c15:sqref>'Area Data'!$D$8:$D$22</c15:sqref>
                        </c15:fullRef>
                        <c15:formulaRef>
                          <c15:sqref>('Area Data'!$D$8:$D$14,'Area Data'!$D$17:$D$22)</c15:sqref>
                        </c15:formulaRef>
                      </c:ext>
                    </c:extLst>
                    <c:numCache>
                      <c:formatCode>0</c:formatCode>
                      <c:ptCount val="13"/>
                      <c:pt idx="11">
                        <c:v>1</c:v>
                      </c:pt>
                    </c:numCache>
                  </c:numRef>
                </c:val>
                <c:extLst>
                  <c:ext xmlns:c16="http://schemas.microsoft.com/office/drawing/2014/chart" uri="{C3380CC4-5D6E-409C-BE32-E72D297353CC}">
                    <c16:uniqueId val="{00000001-B4BA-4B5F-A3F1-A59A775871AA}"/>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'Area Data'!$E$7</c15:sqref>
                        </c15:formulaRef>
                      </c:ext>
                    </c:extLst>
                    <c:strCache>
                      <c:ptCount val="1"/>
                      <c:pt idx="0">
                        <c:v>Lost time injury </c:v>
                      </c:pt>
                    </c:strCache>
                  </c:strRef>
                </c:tx>
                <c:spPr>
                  <a:solidFill>
                    <a:schemeClr val="accent3"/>
                  </a:solidFill>
                  <a:ln>
                    <a:noFill/>
                  </a:ln>
                  <a:effectLst/>
                </c:spPr>
                <c:invertIfNegative val="0"/>
                <c:cat>
                  <c:strRef>
                    <c:extLst>
                      <c:ext xmlns:c15="http://schemas.microsoft.com/office/drawing/2012/chart" uri="{02D57815-91ED-43cb-92C2-25804820EDAC}">
                        <c15:fullRef>
                          <c15:sqref>'Area Data'!$B$9:$B$22</c15:sqref>
                        </c15:fullRef>
                        <c15:formulaRef>
                          <c15:sqref>('Area Data'!$B$9:$B$15,'Area Data'!$B$18:$B$22)</c15:sqref>
                        </c15:formulaRef>
                      </c:ext>
                    </c:extLst>
                    <c:strCache>
                      <c:ptCount val="12"/>
                      <c:pt idx="0">
                        <c:v>100</c:v>
                      </c:pt>
                      <c:pt idx="1">
                        <c:v>200</c:v>
                      </c:pt>
                      <c:pt idx="2">
                        <c:v>300</c:v>
                      </c:pt>
                      <c:pt idx="3">
                        <c:v>400</c:v>
                      </c:pt>
                      <c:pt idx="4">
                        <c:v>500</c:v>
                      </c:pt>
                      <c:pt idx="5">
                        <c:v>600</c:v>
                      </c:pt>
                      <c:pt idx="6">
                        <c:v>700</c:v>
                      </c:pt>
                      <c:pt idx="7">
                        <c:v>WHSE</c:v>
                      </c:pt>
                      <c:pt idx="8">
                        <c:v>Maint</c:v>
                      </c:pt>
                      <c:pt idx="9">
                        <c:v>Lab</c:v>
                      </c:pt>
                      <c:pt idx="10">
                        <c:v>Mundy</c:v>
                      </c:pt>
                      <c:pt idx="11">
                        <c:v>3rd Patry</c:v>
                      </c:pt>
                    </c:strCache>
                  </c:strRef>
                </c:cat>
                <c:val>
                  <c:numRef>
                    <c:extLst>
                      <c:ext xmlns:c15="http://schemas.microsoft.com/office/drawing/2012/chart" uri="{02D57815-91ED-43cb-92C2-25804820EDAC}">
                        <c15:fullRef>
                          <c15:sqref>'Area Data'!$E$8:$E$22</c15:sqref>
                        </c15:fullRef>
                        <c15:formulaRef>
                          <c15:sqref>('Area Data'!$E$8:$E$14,'Area Data'!$E$17:$E$22)</c15:sqref>
                        </c15:formulaRef>
                      </c:ext>
                    </c:extLst>
                    <c:numCache>
                      <c:formatCode>0</c:formatCode>
                      <c:ptCount val="13"/>
                    </c:numCache>
                  </c:numRef>
                </c:val>
                <c:extLst xmlns:c15="http://schemas.microsoft.com/office/drawing/2012/chart">
                  <c:ext xmlns:c16="http://schemas.microsoft.com/office/drawing/2014/chart" uri="{C3380CC4-5D6E-409C-BE32-E72D297353CC}">
                    <c16:uniqueId val="{00000002-B4BA-4B5F-A3F1-A59A775871AA}"/>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'Area Data'!$F$7</c15:sqref>
                        </c15:formulaRef>
                      </c:ext>
                    </c:extLst>
                    <c:strCache>
                      <c:ptCount val="1"/>
                      <c:pt idx="0">
                        <c:v>Restricted</c:v>
                      </c:pt>
                    </c:strCache>
                  </c:strRef>
                </c:tx>
                <c:spPr>
                  <a:solidFill>
                    <a:schemeClr val="accent4"/>
                  </a:solidFill>
                  <a:ln>
                    <a:noFill/>
                  </a:ln>
                  <a:effectLst/>
                </c:spPr>
                <c:invertIfNegative val="0"/>
                <c:cat>
                  <c:strRef>
                    <c:extLst>
                      <c:ext xmlns:c15="http://schemas.microsoft.com/office/drawing/2012/chart" uri="{02D57815-91ED-43cb-92C2-25804820EDAC}">
                        <c15:fullRef>
                          <c15:sqref>'Area Data'!$B$9:$B$22</c15:sqref>
                        </c15:fullRef>
                        <c15:formulaRef>
                          <c15:sqref>('Area Data'!$B$9:$B$15,'Area Data'!$B$18:$B$22)</c15:sqref>
                        </c15:formulaRef>
                      </c:ext>
                    </c:extLst>
                    <c:strCache>
                      <c:ptCount val="12"/>
                      <c:pt idx="0">
                        <c:v>100</c:v>
                      </c:pt>
                      <c:pt idx="1">
                        <c:v>200</c:v>
                      </c:pt>
                      <c:pt idx="2">
                        <c:v>300</c:v>
                      </c:pt>
                      <c:pt idx="3">
                        <c:v>400</c:v>
                      </c:pt>
                      <c:pt idx="4">
                        <c:v>500</c:v>
                      </c:pt>
                      <c:pt idx="5">
                        <c:v>600</c:v>
                      </c:pt>
                      <c:pt idx="6">
                        <c:v>700</c:v>
                      </c:pt>
                      <c:pt idx="7">
                        <c:v>WHSE</c:v>
                      </c:pt>
                      <c:pt idx="8">
                        <c:v>Maint</c:v>
                      </c:pt>
                      <c:pt idx="9">
                        <c:v>Lab</c:v>
                      </c:pt>
                      <c:pt idx="10">
                        <c:v>Mundy</c:v>
                      </c:pt>
                      <c:pt idx="11">
                        <c:v>3rd Patry</c:v>
                      </c:pt>
                    </c:strCache>
                  </c:strRef>
                </c:cat>
                <c:val>
                  <c:numRef>
                    <c:extLst>
                      <c:ext xmlns:c15="http://schemas.microsoft.com/office/drawing/2012/chart" uri="{02D57815-91ED-43cb-92C2-25804820EDAC}">
                        <c15:fullRef>
                          <c15:sqref>'Area Data'!$F$8:$F$22</c15:sqref>
                        </c15:fullRef>
                        <c15:formulaRef>
                          <c15:sqref>('Area Data'!$F$8:$F$14,'Area Data'!$F$17:$F$22)</c15:sqref>
                        </c15:formulaRef>
                      </c:ext>
                    </c:extLst>
                    <c:numCache>
                      <c:formatCode>General</c:formatCode>
                      <c:ptCount val="13"/>
                    </c:numCache>
                  </c:numRef>
                </c:val>
                <c:extLst xmlns:c15="http://schemas.microsoft.com/office/drawing/2012/chart">
                  <c:ext xmlns:c16="http://schemas.microsoft.com/office/drawing/2014/chart" uri="{C3380CC4-5D6E-409C-BE32-E72D297353CC}">
                    <c16:uniqueId val="{00000003-B4BA-4B5F-A3F1-A59A775871AA}"/>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'Area Data'!$G$7</c15:sqref>
                        </c15:formulaRef>
                      </c:ext>
                    </c:extLst>
                    <c:strCache>
                      <c:ptCount val="1"/>
                      <c:pt idx="0">
                        <c:v>Occupational Ilness</c:v>
                      </c:pt>
                    </c:strCache>
                  </c:strRef>
                </c:tx>
                <c:spPr>
                  <a:solidFill>
                    <a:schemeClr val="accent5"/>
                  </a:solidFill>
                  <a:ln>
                    <a:noFill/>
                  </a:ln>
                  <a:effectLst/>
                </c:spPr>
                <c:invertIfNegative val="0"/>
                <c:cat>
                  <c:strRef>
                    <c:extLst>
                      <c:ext xmlns:c15="http://schemas.microsoft.com/office/drawing/2012/chart" uri="{02D57815-91ED-43cb-92C2-25804820EDAC}">
                        <c15:fullRef>
                          <c15:sqref>'Area Data'!$B$9:$B$22</c15:sqref>
                        </c15:fullRef>
                        <c15:formulaRef>
                          <c15:sqref>('Area Data'!$B$9:$B$15,'Area Data'!$B$18:$B$22)</c15:sqref>
                        </c15:formulaRef>
                      </c:ext>
                    </c:extLst>
                    <c:strCache>
                      <c:ptCount val="12"/>
                      <c:pt idx="0">
                        <c:v>100</c:v>
                      </c:pt>
                      <c:pt idx="1">
                        <c:v>200</c:v>
                      </c:pt>
                      <c:pt idx="2">
                        <c:v>300</c:v>
                      </c:pt>
                      <c:pt idx="3">
                        <c:v>400</c:v>
                      </c:pt>
                      <c:pt idx="4">
                        <c:v>500</c:v>
                      </c:pt>
                      <c:pt idx="5">
                        <c:v>600</c:v>
                      </c:pt>
                      <c:pt idx="6">
                        <c:v>700</c:v>
                      </c:pt>
                      <c:pt idx="7">
                        <c:v>WHSE</c:v>
                      </c:pt>
                      <c:pt idx="8">
                        <c:v>Maint</c:v>
                      </c:pt>
                      <c:pt idx="9">
                        <c:v>Lab</c:v>
                      </c:pt>
                      <c:pt idx="10">
                        <c:v>Mundy</c:v>
                      </c:pt>
                      <c:pt idx="11">
                        <c:v>3rd Patry</c:v>
                      </c:pt>
                    </c:strCache>
                  </c:strRef>
                </c:cat>
                <c:val>
                  <c:numRef>
                    <c:extLst>
                      <c:ext xmlns:c15="http://schemas.microsoft.com/office/drawing/2012/chart" uri="{02D57815-91ED-43cb-92C2-25804820EDAC}">
                        <c15:fullRef>
                          <c15:sqref>'Area Data'!$G$8:$G$22</c15:sqref>
                        </c15:fullRef>
                        <c15:formulaRef>
                          <c15:sqref>('Area Data'!$G$8:$G$14,'Area Data'!$G$17:$G$22)</c15:sqref>
                        </c15:formulaRef>
                      </c:ext>
                    </c:extLst>
                    <c:numCache>
                      <c:formatCode>General</c:formatCode>
                      <c:ptCount val="13"/>
                    </c:numCache>
                  </c:numRef>
                </c:val>
                <c:extLst xmlns:c15="http://schemas.microsoft.com/office/drawing/2012/chart">
                  <c:ext xmlns:c16="http://schemas.microsoft.com/office/drawing/2014/chart" uri="{C3380CC4-5D6E-409C-BE32-E72D297353CC}">
                    <c16:uniqueId val="{00000004-B4BA-4B5F-A3F1-A59A775871AA}"/>
                  </c:ext>
                </c:extLst>
              </c15:ser>
            </c15:filteredBarSeries>
            <c15:filteredBarSeries>
              <c15:ser>
                <c:idx val="10"/>
                <c:order val="10"/>
                <c:tx>
                  <c:strRef>
                    <c:extLst xmlns:c15="http://schemas.microsoft.com/office/drawing/2012/chart">
                      <c:ext xmlns:c15="http://schemas.microsoft.com/office/drawing/2012/chart" uri="{02D57815-91ED-43cb-92C2-25804820EDAC}">
                        <c15:formulaRef>
                          <c15:sqref>'Area Data'!$O$7</c15:sqref>
                        </c15:formulaRef>
                      </c:ext>
                    </c:extLst>
                    <c:strCache>
                      <c:ptCount val="1"/>
                      <c:pt idx="0">
                        <c:v>Regulatory </c:v>
                      </c:pt>
                    </c:strCache>
                  </c:strRef>
                </c:tx>
                <c:spPr>
                  <a:solidFill>
                    <a:schemeClr val="accent5">
                      <a:lumMod val="60000"/>
                    </a:schemeClr>
                  </a:solidFill>
                  <a:ln>
                    <a:noFill/>
                  </a:ln>
                  <a:effectLst/>
                </c:spPr>
                <c:invertIfNegative val="0"/>
                <c:cat>
                  <c:strRef>
                    <c:extLst>
                      <c:ext xmlns:c15="http://schemas.microsoft.com/office/drawing/2012/chart" uri="{02D57815-91ED-43cb-92C2-25804820EDAC}">
                        <c15:fullRef>
                          <c15:sqref>'Area Data'!$B$9:$B$22</c15:sqref>
                        </c15:fullRef>
                        <c15:formulaRef>
                          <c15:sqref>('Area Data'!$B$9:$B$15,'Area Data'!$B$18:$B$22)</c15:sqref>
                        </c15:formulaRef>
                      </c:ext>
                    </c:extLst>
                    <c:strCache>
                      <c:ptCount val="12"/>
                      <c:pt idx="0">
                        <c:v>100</c:v>
                      </c:pt>
                      <c:pt idx="1">
                        <c:v>200</c:v>
                      </c:pt>
                      <c:pt idx="2">
                        <c:v>300</c:v>
                      </c:pt>
                      <c:pt idx="3">
                        <c:v>400</c:v>
                      </c:pt>
                      <c:pt idx="4">
                        <c:v>500</c:v>
                      </c:pt>
                      <c:pt idx="5">
                        <c:v>600</c:v>
                      </c:pt>
                      <c:pt idx="6">
                        <c:v>700</c:v>
                      </c:pt>
                      <c:pt idx="7">
                        <c:v>WHSE</c:v>
                      </c:pt>
                      <c:pt idx="8">
                        <c:v>Maint</c:v>
                      </c:pt>
                      <c:pt idx="9">
                        <c:v>Lab</c:v>
                      </c:pt>
                      <c:pt idx="10">
                        <c:v>Mundy</c:v>
                      </c:pt>
                      <c:pt idx="11">
                        <c:v>3rd Patry</c:v>
                      </c:pt>
                    </c:strCache>
                  </c:strRef>
                </c:cat>
                <c:val>
                  <c:numRef>
                    <c:extLst>
                      <c:ext xmlns:c15="http://schemas.microsoft.com/office/drawing/2012/chart" uri="{02D57815-91ED-43cb-92C2-25804820EDAC}">
                        <c15:fullRef>
                          <c15:sqref>'Area Data'!$O$8:$O$22</c15:sqref>
                        </c15:fullRef>
                        <c15:formulaRef>
                          <c15:sqref>('Area Data'!$O$8:$O$14,'Area Data'!$O$17:$O$22)</c15:sqref>
                        </c15:formulaRef>
                      </c:ext>
                    </c:extLst>
                    <c:numCache>
                      <c:formatCode>General</c:formatCode>
                      <c:ptCount val="13"/>
                    </c:numCache>
                  </c:numRef>
                </c:val>
                <c:extLst xmlns:c15="http://schemas.microsoft.com/office/drawing/2012/chart">
                  <c:ext xmlns:c16="http://schemas.microsoft.com/office/drawing/2014/chart" uri="{C3380CC4-5D6E-409C-BE32-E72D297353CC}">
                    <c16:uniqueId val="{0000000A-B4BA-4B5F-A3F1-A59A775871AA}"/>
                  </c:ext>
                </c:extLst>
              </c15:ser>
            </c15:filteredBarSeries>
          </c:ext>
        </c:extLst>
      </c:barChart>
      <c:catAx>
        <c:axId val="1124751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749599"/>
        <c:crosses val="autoZero"/>
        <c:auto val="1"/>
        <c:lblAlgn val="ctr"/>
        <c:lblOffset val="100"/>
        <c:noMultiLvlLbl val="0"/>
      </c:catAx>
      <c:valAx>
        <c:axId val="11247495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751519"/>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Incidents</a:t>
            </a:r>
            <a:r>
              <a:rPr lang="en-US" b="1" baseline="0"/>
              <a:t> by Area</a:t>
            </a:r>
          </a:p>
          <a:p>
            <a:pPr>
              <a:defRPr b="1"/>
            </a:pP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'Area Data'!$E$47:$E$55</c:f>
              <c:strCache>
                <c:ptCount val="9"/>
                <c:pt idx="0">
                  <c:v>Mundy</c:v>
                </c:pt>
                <c:pt idx="1">
                  <c:v>200</c:v>
                </c:pt>
                <c:pt idx="2">
                  <c:v>3rd Party </c:v>
                </c:pt>
                <c:pt idx="3">
                  <c:v>400</c:v>
                </c:pt>
                <c:pt idx="4">
                  <c:v>600</c:v>
                </c:pt>
                <c:pt idx="5">
                  <c:v>100</c:v>
                </c:pt>
                <c:pt idx="6">
                  <c:v>300</c:v>
                </c:pt>
                <c:pt idx="7">
                  <c:v>500</c:v>
                </c:pt>
                <c:pt idx="8">
                  <c:v>700</c:v>
                </c:pt>
              </c:strCache>
            </c:strRef>
          </c:cat>
          <c:val>
            <c:numRef>
              <c:f>'Area Data'!$F$47:$F$55</c:f>
              <c:numCache>
                <c:formatCode>General</c:formatCode>
                <c:ptCount val="9"/>
                <c:pt idx="0">
                  <c:v>13</c:v>
                </c:pt>
                <c:pt idx="1">
                  <c:v>4</c:v>
                </c:pt>
                <c:pt idx="2">
                  <c:v>4</c:v>
                </c:pt>
                <c:pt idx="3">
                  <c:v>3</c:v>
                </c:pt>
                <c:pt idx="4">
                  <c:v>3</c:v>
                </c:pt>
                <c:pt idx="5">
                  <c:v>2</c:v>
                </c:pt>
                <c:pt idx="6">
                  <c:v>2</c:v>
                </c:pt>
                <c:pt idx="7">
                  <c:v>2</c:v>
                </c:pt>
                <c:pt idx="8">
                  <c:v>2</c:v>
                </c:pt>
              </c:numCache>
            </c:numRef>
          </c:val>
          <c:extLst>
            <c:ext xmlns:c16="http://schemas.microsoft.com/office/drawing/2014/chart" uri="{C3380CC4-5D6E-409C-BE32-E72D297353CC}">
              <c16:uniqueId val="{00000000-E34A-4F84-9FC6-439E099809C4}"/>
            </c:ext>
          </c:extLst>
        </c:ser>
        <c:dLbls>
          <c:showLegendKey val="0"/>
          <c:showVal val="0"/>
          <c:showCatName val="0"/>
          <c:showSerName val="0"/>
          <c:showPercent val="0"/>
          <c:showBubbleSize val="0"/>
        </c:dLbls>
        <c:gapWidth val="219"/>
        <c:axId val="972794088"/>
        <c:axId val="972790488"/>
      </c:barChart>
      <c:catAx>
        <c:axId val="972794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790488"/>
        <c:crosses val="autoZero"/>
        <c:auto val="1"/>
        <c:lblAlgn val="ctr"/>
        <c:lblOffset val="100"/>
        <c:noMultiLvlLbl val="0"/>
      </c:catAx>
      <c:valAx>
        <c:axId val="9727904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794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Near</a:t>
            </a:r>
            <a:r>
              <a:rPr lang="en-US" b="1" baseline="0"/>
              <a:t> Miss by Area</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'Area Data'!$E$65:$E$74</c:f>
              <c:strCache>
                <c:ptCount val="10"/>
                <c:pt idx="0">
                  <c:v>600</c:v>
                </c:pt>
                <c:pt idx="1">
                  <c:v>Mundy</c:v>
                </c:pt>
                <c:pt idx="2">
                  <c:v>700</c:v>
                </c:pt>
                <c:pt idx="3">
                  <c:v>400</c:v>
                </c:pt>
                <c:pt idx="4">
                  <c:v>Admin</c:v>
                </c:pt>
                <c:pt idx="5">
                  <c:v>3rd Party </c:v>
                </c:pt>
                <c:pt idx="6">
                  <c:v>100</c:v>
                </c:pt>
                <c:pt idx="7">
                  <c:v>200</c:v>
                </c:pt>
                <c:pt idx="8">
                  <c:v>500</c:v>
                </c:pt>
                <c:pt idx="9">
                  <c:v>WHSE</c:v>
                </c:pt>
              </c:strCache>
            </c:strRef>
          </c:cat>
          <c:val>
            <c:numRef>
              <c:f>'Area Data'!$F$65:$F$74</c:f>
              <c:numCache>
                <c:formatCode>General</c:formatCode>
                <c:ptCount val="10"/>
                <c:pt idx="0">
                  <c:v>7</c:v>
                </c:pt>
                <c:pt idx="1">
                  <c:v>6</c:v>
                </c:pt>
                <c:pt idx="2">
                  <c:v>5</c:v>
                </c:pt>
                <c:pt idx="3">
                  <c:v>2</c:v>
                </c:pt>
                <c:pt idx="4">
                  <c:v>2</c:v>
                </c:pt>
                <c:pt idx="5">
                  <c:v>2</c:v>
                </c:pt>
                <c:pt idx="6">
                  <c:v>1</c:v>
                </c:pt>
                <c:pt idx="7">
                  <c:v>1</c:v>
                </c:pt>
                <c:pt idx="8">
                  <c:v>1</c:v>
                </c:pt>
                <c:pt idx="9">
                  <c:v>1</c:v>
                </c:pt>
              </c:numCache>
            </c:numRef>
          </c:val>
          <c:extLst>
            <c:ext xmlns:c16="http://schemas.microsoft.com/office/drawing/2014/chart" uri="{C3380CC4-5D6E-409C-BE32-E72D297353CC}">
              <c16:uniqueId val="{00000000-EE08-45A3-A4DF-B86B037D6C04}"/>
            </c:ext>
          </c:extLst>
        </c:ser>
        <c:dLbls>
          <c:showLegendKey val="0"/>
          <c:showVal val="0"/>
          <c:showCatName val="0"/>
          <c:showSerName val="0"/>
          <c:showPercent val="0"/>
          <c:showBubbleSize val="0"/>
        </c:dLbls>
        <c:gapWidth val="219"/>
        <c:overlap val="-27"/>
        <c:axId val="844414232"/>
        <c:axId val="844418912"/>
      </c:barChart>
      <c:catAx>
        <c:axId val="844414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418912"/>
        <c:crosses val="autoZero"/>
        <c:auto val="1"/>
        <c:lblAlgn val="ctr"/>
        <c:lblOffset val="100"/>
        <c:noMultiLvlLbl val="0"/>
      </c:catAx>
      <c:valAx>
        <c:axId val="8444189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414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Spill/</a:t>
            </a:r>
            <a:r>
              <a:rPr lang="en-US" b="1" baseline="0">
                <a:solidFill>
                  <a:sysClr val="windowText" lastClr="000000"/>
                </a:solidFill>
              </a:rPr>
              <a:t> Release Contributing Factors YTD</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'Incident Data'!$A$31</c:f>
              <c:strCache>
                <c:ptCount val="1"/>
                <c:pt idx="0">
                  <c:v>Mechanical Integrity</c:v>
                </c:pt>
              </c:strCache>
              <c:extLst xmlns:c15="http://schemas.microsoft.com/office/drawing/2012/chart"/>
            </c:strRef>
          </c:tx>
          <c:spPr>
            <a:solidFill>
              <a:srgbClr val="FFC000"/>
            </a:solidFill>
            <a:ln>
              <a:solidFill>
                <a:srgbClr val="FFC000"/>
              </a:solidFill>
            </a:ln>
            <a:effectLst/>
          </c:spPr>
          <c:invertIfNegative val="0"/>
          <c:cat>
            <c:strRef>
              <c:f>'Incident Data'!$B$30:$M$30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'Incident Data'!$B$31:$M$31</c:f>
              <c:numCache>
                <c:formatCode>General</c:formatCode>
                <c:ptCount val="12"/>
                <c:pt idx="0">
                  <c:v>1</c:v>
                </c:pt>
                <c:pt idx="1">
                  <c:v>1</c:v>
                </c:pt>
                <c:pt idx="2">
                  <c:v>2</c:v>
                </c:pt>
                <c:pt idx="5">
                  <c:v>2</c:v>
                </c:pt>
                <c:pt idx="6" formatCode="0">
                  <c:v>2</c:v>
                </c:pt>
                <c:pt idx="7">
                  <c:v>1</c:v>
                </c:pt>
              </c:numCache>
            </c:numRef>
          </c:val>
          <c:extLst xmlns:c15="http://schemas.microsoft.com/office/drawing/2012/chart">
            <c:ext xmlns:c16="http://schemas.microsoft.com/office/drawing/2014/chart" uri="{C3380CC4-5D6E-409C-BE32-E72D297353CC}">
              <c16:uniqueId val="{00000000-3BA6-4398-867C-8406ACFBDF85}"/>
            </c:ext>
          </c:extLst>
        </c:ser>
        <c:ser>
          <c:idx val="1"/>
          <c:order val="1"/>
          <c:tx>
            <c:strRef>
              <c:f>'Incident Data'!$A$32</c:f>
              <c:strCache>
                <c:ptCount val="1"/>
                <c:pt idx="0">
                  <c:v>Human Error</c:v>
                </c:pt>
              </c:strCache>
              <c:extLst xmlns:c15="http://schemas.microsoft.com/office/drawing/2012/chart"/>
            </c:strRef>
          </c:tx>
          <c:spPr>
            <a:solidFill>
              <a:schemeClr val="bg2">
                <a:lumMod val="75000"/>
              </a:schemeClr>
            </a:solidFill>
            <a:ln>
              <a:solidFill>
                <a:schemeClr val="bg2">
                  <a:lumMod val="75000"/>
                </a:schemeClr>
              </a:solidFill>
            </a:ln>
            <a:effectLst/>
          </c:spPr>
          <c:invertIfNegative val="0"/>
          <c:cat>
            <c:strRef>
              <c:f>'Incident Data'!$B$30:$M$30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'Incident Data'!$B$32:$M$32</c:f>
              <c:numCache>
                <c:formatCode>General</c:formatCode>
                <c:ptCount val="12"/>
                <c:pt idx="1">
                  <c:v>1</c:v>
                </c:pt>
                <c:pt idx="3">
                  <c:v>1</c:v>
                </c:pt>
                <c:pt idx="6" formatCode="0">
                  <c:v>1</c:v>
                </c:pt>
                <c:pt idx="7">
                  <c:v>1</c:v>
                </c:pt>
              </c:numCache>
            </c:numRef>
          </c:val>
          <c:extLst xmlns:c15="http://schemas.microsoft.com/office/drawing/2012/chart">
            <c:ext xmlns:c16="http://schemas.microsoft.com/office/drawing/2014/chart" uri="{C3380CC4-5D6E-409C-BE32-E72D297353CC}">
              <c16:uniqueId val="{00000001-3BA6-4398-867C-8406ACFBDF85}"/>
            </c:ext>
          </c:extLst>
        </c:ser>
        <c:ser>
          <c:idx val="4"/>
          <c:order val="4"/>
          <c:tx>
            <c:strRef>
              <c:f>'Incident Data'!$A$33</c:f>
              <c:strCache>
                <c:ptCount val="1"/>
                <c:pt idx="0">
                  <c:v>Other</c:v>
                </c:pt>
              </c:strCache>
            </c:strRef>
          </c:tx>
          <c:spPr>
            <a:solidFill>
              <a:srgbClr val="FFFF00"/>
            </a:solidFill>
            <a:ln>
              <a:noFill/>
            </a:ln>
            <a:effectLst/>
          </c:spPr>
          <c:invertIfNegative val="0"/>
          <c:val>
            <c:numRef>
              <c:f>'Incident Data'!$B$33:$M$33</c:f>
              <c:numCache>
                <c:formatCode>General</c:formatCode>
                <c:ptCount val="12"/>
                <c:pt idx="8">
                  <c:v>1</c:v>
                </c:pt>
              </c:numCache>
            </c:numRef>
          </c:val>
          <c:extLst>
            <c:ext xmlns:c16="http://schemas.microsoft.com/office/drawing/2014/chart" uri="{C3380CC4-5D6E-409C-BE32-E72D297353CC}">
              <c16:uniqueId val="{00000001-5694-4B64-9E79-81D8E3AB451D}"/>
            </c:ext>
          </c:extLst>
        </c:ser>
        <c:dLbls>
          <c:showLegendKey val="0"/>
          <c:showVal val="0"/>
          <c:showCatName val="0"/>
          <c:showSerName val="0"/>
          <c:showPercent val="0"/>
          <c:showBubbleSize val="0"/>
        </c:dLbls>
        <c:gapWidth val="150"/>
        <c:axId val="1352319520"/>
        <c:axId val="1351488720"/>
      </c:barChart>
      <c:lineChart>
        <c:grouping val="standard"/>
        <c:varyColors val="0"/>
        <c:ser>
          <c:idx val="2"/>
          <c:order val="2"/>
          <c:tx>
            <c:strRef>
              <c:f>'Incident Data'!$A$35</c:f>
              <c:strCache>
                <c:ptCount val="1"/>
                <c:pt idx="0">
                  <c:v>Accum. Mechanical Integrity</c:v>
                </c:pt>
              </c:strCache>
            </c:strRef>
          </c:tx>
          <c:spPr>
            <a:ln w="28575"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A-22EA-45F4-8981-2C208ADF8471}"/>
                </c:ext>
              </c:extLst>
            </c:dLbl>
            <c:dLbl>
              <c:idx val="1"/>
              <c:delete val="1"/>
              <c:extLst>
                <c:ext xmlns:c15="http://schemas.microsoft.com/office/drawing/2012/chart" uri="{CE6537A1-D6FC-4f65-9D91-7224C49458BB}"/>
                <c:ext xmlns:c16="http://schemas.microsoft.com/office/drawing/2014/chart" uri="{C3380CC4-5D6E-409C-BE32-E72D297353CC}">
                  <c16:uniqueId val="{00000009-22EA-45F4-8981-2C208ADF8471}"/>
                </c:ext>
              </c:extLst>
            </c:dLbl>
            <c:dLbl>
              <c:idx val="2"/>
              <c:delete val="1"/>
              <c:extLst>
                <c:ext xmlns:c15="http://schemas.microsoft.com/office/drawing/2012/chart" uri="{CE6537A1-D6FC-4f65-9D91-7224C49458BB}"/>
                <c:ext xmlns:c16="http://schemas.microsoft.com/office/drawing/2014/chart" uri="{C3380CC4-5D6E-409C-BE32-E72D297353CC}">
                  <c16:uniqueId val="{00000008-22EA-45F4-8981-2C208ADF8471}"/>
                </c:ext>
              </c:extLst>
            </c:dLbl>
            <c:dLbl>
              <c:idx val="3"/>
              <c:delete val="1"/>
              <c:extLst>
                <c:ext xmlns:c15="http://schemas.microsoft.com/office/drawing/2012/chart" uri="{CE6537A1-D6FC-4f65-9D91-7224C49458BB}"/>
                <c:ext xmlns:c16="http://schemas.microsoft.com/office/drawing/2014/chart" uri="{C3380CC4-5D6E-409C-BE32-E72D297353CC}">
                  <c16:uniqueId val="{00000007-22EA-45F4-8981-2C208ADF8471}"/>
                </c:ext>
              </c:extLst>
            </c:dLbl>
            <c:dLbl>
              <c:idx val="4"/>
              <c:delete val="1"/>
              <c:extLst>
                <c:ext xmlns:c15="http://schemas.microsoft.com/office/drawing/2012/chart" uri="{CE6537A1-D6FC-4f65-9D91-7224C49458BB}"/>
                <c:ext xmlns:c16="http://schemas.microsoft.com/office/drawing/2014/chart" uri="{C3380CC4-5D6E-409C-BE32-E72D297353CC}">
                  <c16:uniqueId val="{00000006-22EA-45F4-8981-2C208ADF8471}"/>
                </c:ext>
              </c:extLst>
            </c:dLbl>
            <c:dLbl>
              <c:idx val="5"/>
              <c:delete val="1"/>
              <c:extLst>
                <c:ext xmlns:c15="http://schemas.microsoft.com/office/drawing/2012/chart" uri="{CE6537A1-D6FC-4f65-9D91-7224C49458BB}"/>
                <c:ext xmlns:c16="http://schemas.microsoft.com/office/drawing/2014/chart" uri="{C3380CC4-5D6E-409C-BE32-E72D297353CC}">
                  <c16:uniqueId val="{00000007-8D24-464D-BE93-51BA5377F7E8}"/>
                </c:ext>
              </c:extLst>
            </c:dLbl>
            <c:dLbl>
              <c:idx val="6"/>
              <c:delete val="1"/>
              <c:extLst>
                <c:ext xmlns:c15="http://schemas.microsoft.com/office/drawing/2012/chart" uri="{CE6537A1-D6FC-4f65-9D91-7224C49458BB}"/>
                <c:ext xmlns:c16="http://schemas.microsoft.com/office/drawing/2014/chart" uri="{C3380CC4-5D6E-409C-BE32-E72D297353CC}">
                  <c16:uniqueId val="{00000005-8D24-464D-BE93-51BA5377F7E8}"/>
                </c:ext>
              </c:extLst>
            </c:dLbl>
            <c:dLbl>
              <c:idx val="7"/>
              <c:delete val="1"/>
              <c:extLst>
                <c:ext xmlns:c15="http://schemas.microsoft.com/office/drawing/2012/chart" uri="{CE6537A1-D6FC-4f65-9D91-7224C49458BB}"/>
                <c:ext xmlns:c16="http://schemas.microsoft.com/office/drawing/2014/chart" uri="{C3380CC4-5D6E-409C-BE32-E72D297353CC}">
                  <c16:uniqueId val="{00000008-8D24-464D-BE93-51BA5377F7E8}"/>
                </c:ext>
              </c:extLst>
            </c:dLbl>
            <c:dLbl>
              <c:idx val="8"/>
              <c:delete val="1"/>
              <c:extLst>
                <c:ext xmlns:c15="http://schemas.microsoft.com/office/drawing/2012/chart" uri="{CE6537A1-D6FC-4f65-9D91-7224C49458BB}"/>
                <c:ext xmlns:c16="http://schemas.microsoft.com/office/drawing/2014/chart" uri="{C3380CC4-5D6E-409C-BE32-E72D297353CC}">
                  <c16:uniqueId val="{00000009-8D24-464D-BE93-51BA5377F7E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'Incident Data'!$B$35:$M$35</c:f>
              <c:numCache>
                <c:formatCode>General</c:formatCode>
                <c:ptCount val="12"/>
                <c:pt idx="0">
                  <c:v>1</c:v>
                </c:pt>
                <c:pt idx="1">
                  <c:v>2</c:v>
                </c:pt>
                <c:pt idx="2">
                  <c:v>4</c:v>
                </c:pt>
                <c:pt idx="3">
                  <c:v>4</c:v>
                </c:pt>
                <c:pt idx="6" formatCode="0">
                  <c:v>2</c:v>
                </c:pt>
                <c:pt idx="8" formatCode="0">
                  <c:v>0</c:v>
                </c:pt>
              </c:numCache>
            </c:numRef>
          </c:val>
          <c:smooth val="0"/>
          <c:extLst>
            <c:ext xmlns:c16="http://schemas.microsoft.com/office/drawing/2014/chart" uri="{C3380CC4-5D6E-409C-BE32-E72D297353CC}">
              <c16:uniqueId val="{00000002-3BA6-4398-867C-8406ACFBDF85}"/>
            </c:ext>
          </c:extLst>
        </c:ser>
        <c:ser>
          <c:idx val="3"/>
          <c:order val="3"/>
          <c:tx>
            <c:strRef>
              <c:f>'Incident Data'!$A$36</c:f>
              <c:strCache>
                <c:ptCount val="1"/>
                <c:pt idx="0">
                  <c:v>Accumulating Human Error</c:v>
                </c:pt>
              </c:strCache>
            </c:strRef>
          </c:tx>
          <c:spPr>
            <a:ln w="28575" cap="rnd">
              <a:solidFill>
                <a:schemeClr val="bg2">
                  <a:lumMod val="75000"/>
                </a:schemeClr>
              </a:solidFill>
              <a:round/>
            </a:ln>
            <a:effectLst/>
          </c:spPr>
          <c:marker>
            <c:symbol val="none"/>
          </c:marker>
          <c:dPt>
            <c:idx val="0"/>
            <c:marker>
              <c:symbol val="none"/>
            </c:marker>
            <c:bubble3D val="0"/>
            <c:spPr>
              <a:ln w="28575" cap="rnd">
                <a:solidFill>
                  <a:schemeClr val="bg2">
                    <a:lumMod val="75000"/>
                  </a:schemeClr>
                </a:solidFill>
                <a:round/>
              </a:ln>
              <a:effectLst/>
            </c:spPr>
            <c:extLst>
              <c:ext xmlns:c16="http://schemas.microsoft.com/office/drawing/2014/chart" uri="{C3380CC4-5D6E-409C-BE32-E72D297353CC}">
                <c16:uniqueId val="{00000001-1E78-4A9D-B66E-D980948896FF}"/>
              </c:ext>
            </c:extLst>
          </c:dPt>
          <c:dLbls>
            <c:dLbl>
              <c:idx val="0"/>
              <c:delete val="1"/>
              <c:extLst>
                <c:ext xmlns:c15="http://schemas.microsoft.com/office/drawing/2012/chart" uri="{CE6537A1-D6FC-4f65-9D91-7224C49458BB}"/>
                <c:ext xmlns:c16="http://schemas.microsoft.com/office/drawing/2014/chart" uri="{C3380CC4-5D6E-409C-BE32-E72D297353CC}">
                  <c16:uniqueId val="{00000001-1E78-4A9D-B66E-D980948896FF}"/>
                </c:ext>
              </c:extLst>
            </c:dLbl>
            <c:dLbl>
              <c:idx val="1"/>
              <c:delete val="1"/>
              <c:extLst>
                <c:ext xmlns:c15="http://schemas.microsoft.com/office/drawing/2012/chart" uri="{CE6537A1-D6FC-4f65-9D91-7224C49458BB}"/>
                <c:ext xmlns:c16="http://schemas.microsoft.com/office/drawing/2014/chart" uri="{C3380CC4-5D6E-409C-BE32-E72D297353CC}">
                  <c16:uniqueId val="{00000005-22EA-45F4-8981-2C208ADF8471}"/>
                </c:ext>
              </c:extLst>
            </c:dLbl>
            <c:dLbl>
              <c:idx val="2"/>
              <c:delete val="1"/>
              <c:extLst>
                <c:ext xmlns:c15="http://schemas.microsoft.com/office/drawing/2012/chart" uri="{CE6537A1-D6FC-4f65-9D91-7224C49458BB}"/>
                <c:ext xmlns:c16="http://schemas.microsoft.com/office/drawing/2014/chart" uri="{C3380CC4-5D6E-409C-BE32-E72D297353CC}">
                  <c16:uniqueId val="{00000004-22EA-45F4-8981-2C208ADF8471}"/>
                </c:ext>
              </c:extLst>
            </c:dLbl>
            <c:dLbl>
              <c:idx val="3"/>
              <c:delete val="1"/>
              <c:extLst>
                <c:ext xmlns:c15="http://schemas.microsoft.com/office/drawing/2012/chart" uri="{CE6537A1-D6FC-4f65-9D91-7224C49458BB}"/>
                <c:ext xmlns:c16="http://schemas.microsoft.com/office/drawing/2014/chart" uri="{C3380CC4-5D6E-409C-BE32-E72D297353CC}">
                  <c16:uniqueId val="{00000003-22EA-45F4-8981-2C208ADF8471}"/>
                </c:ext>
              </c:extLst>
            </c:dLbl>
            <c:dLbl>
              <c:idx val="4"/>
              <c:delete val="1"/>
              <c:extLst>
                <c:ext xmlns:c15="http://schemas.microsoft.com/office/drawing/2012/chart" uri="{CE6537A1-D6FC-4f65-9D91-7224C49458BB}"/>
                <c:ext xmlns:c16="http://schemas.microsoft.com/office/drawing/2014/chart" uri="{C3380CC4-5D6E-409C-BE32-E72D297353CC}">
                  <c16:uniqueId val="{00000002-22EA-45F4-8981-2C208ADF8471}"/>
                </c:ext>
              </c:extLst>
            </c:dLbl>
            <c:dLbl>
              <c:idx val="5"/>
              <c:delete val="1"/>
              <c:extLst>
                <c:ext xmlns:c15="http://schemas.microsoft.com/office/drawing/2012/chart" uri="{CE6537A1-D6FC-4f65-9D91-7224C49458BB}"/>
                <c:ext xmlns:c16="http://schemas.microsoft.com/office/drawing/2014/chart" uri="{C3380CC4-5D6E-409C-BE32-E72D297353CC}">
                  <c16:uniqueId val="{00000006-8D24-464D-BE93-51BA5377F7E8}"/>
                </c:ext>
              </c:extLst>
            </c:dLbl>
            <c:dLbl>
              <c:idx val="6"/>
              <c:delete val="1"/>
              <c:extLst>
                <c:ext xmlns:c15="http://schemas.microsoft.com/office/drawing/2012/chart" uri="{CE6537A1-D6FC-4f65-9D91-7224C49458BB}"/>
                <c:ext xmlns:c16="http://schemas.microsoft.com/office/drawing/2014/chart" uri="{C3380CC4-5D6E-409C-BE32-E72D297353CC}">
                  <c16:uniqueId val="{00000004-8D24-464D-BE93-51BA5377F7E8}"/>
                </c:ext>
              </c:extLst>
            </c:dLbl>
            <c:dLbl>
              <c:idx val="7"/>
              <c:delete val="1"/>
              <c:extLst>
                <c:ext xmlns:c15="http://schemas.microsoft.com/office/drawing/2012/chart" uri="{CE6537A1-D6FC-4f65-9D91-7224C49458BB}"/>
                <c:ext xmlns:c16="http://schemas.microsoft.com/office/drawing/2014/chart" uri="{C3380CC4-5D6E-409C-BE32-E72D297353CC}">
                  <c16:uniqueId val="{00000003-8D24-464D-BE93-51BA5377F7E8}"/>
                </c:ext>
              </c:extLst>
            </c:dLbl>
            <c:dLbl>
              <c:idx val="8"/>
              <c:delete val="1"/>
              <c:extLst>
                <c:ext xmlns:c15="http://schemas.microsoft.com/office/drawing/2012/chart" uri="{CE6537A1-D6FC-4f65-9D91-7224C49458BB}"/>
                <c:ext xmlns:c16="http://schemas.microsoft.com/office/drawing/2014/chart" uri="{C3380CC4-5D6E-409C-BE32-E72D297353CC}">
                  <c16:uniqueId val="{00000002-8D24-464D-BE93-51BA5377F7E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'Incident Data'!$B$36:$M$36</c:f>
              <c:numCache>
                <c:formatCode>General</c:formatCode>
                <c:ptCount val="12"/>
                <c:pt idx="0">
                  <c:v>0</c:v>
                </c:pt>
                <c:pt idx="1">
                  <c:v>1</c:v>
                </c:pt>
                <c:pt idx="2">
                  <c:v>1</c:v>
                </c:pt>
                <c:pt idx="3">
                  <c:v>2</c:v>
                </c:pt>
              </c:numCache>
            </c:numRef>
          </c:val>
          <c:smooth val="0"/>
          <c:extLst>
            <c:ext xmlns:c16="http://schemas.microsoft.com/office/drawing/2014/chart" uri="{C3380CC4-5D6E-409C-BE32-E72D297353CC}">
              <c16:uniqueId val="{00000003-3BA6-4398-867C-8406ACFBDF85}"/>
            </c:ext>
          </c:extLst>
        </c:ser>
        <c:dLbls>
          <c:showLegendKey val="0"/>
          <c:showVal val="0"/>
          <c:showCatName val="0"/>
          <c:showSerName val="0"/>
          <c:showPercent val="0"/>
          <c:showBubbleSize val="0"/>
        </c:dLbls>
        <c:marker val="1"/>
        <c:smooth val="0"/>
        <c:axId val="1352319520"/>
        <c:axId val="1351488720"/>
      </c:lineChart>
      <c:catAx>
        <c:axId val="1352319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488720"/>
        <c:crosses val="autoZero"/>
        <c:auto val="1"/>
        <c:lblAlgn val="ctr"/>
        <c:lblOffset val="100"/>
        <c:noMultiLvlLbl val="0"/>
      </c:catAx>
      <c:valAx>
        <c:axId val="13514887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3195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Spill/</a:t>
            </a:r>
            <a:r>
              <a:rPr lang="en-US" b="1" baseline="0">
                <a:solidFill>
                  <a:sysClr val="windowText" lastClr="000000"/>
                </a:solidFill>
              </a:rPr>
              <a:t> Release Y25 vs YTD26</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3.1028004994521317E-2"/>
          <c:y val="0.19161764705882356"/>
          <c:w val="0.9547325128048314"/>
          <c:h val="0.59233634398641344"/>
        </c:manualLayout>
      </c:layout>
      <c:barChart>
        <c:barDir val="col"/>
        <c:grouping val="clustered"/>
        <c:varyColors val="0"/>
        <c:ser>
          <c:idx val="0"/>
          <c:order val="0"/>
          <c:tx>
            <c:strRef>
              <c:f>'Incident Data'!$A$58</c:f>
              <c:strCache>
                <c:ptCount val="1"/>
                <c:pt idx="0">
                  <c:v>2025</c:v>
                </c:pt>
              </c:strCache>
            </c:strRef>
          </c:tx>
          <c:spPr>
            <a:solidFill>
              <a:schemeClr val="accent1"/>
            </a:solidFill>
            <a:ln>
              <a:noFill/>
            </a:ln>
            <a:effectLst/>
          </c:spPr>
          <c:invertIfNegative val="0"/>
          <c:cat>
            <c:strRef>
              <c:f>'Incident Data'!$B$57:$M$57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'Incident Data'!$B$58:$M$58</c:f>
              <c:numCache>
                <c:formatCode>General</c:formatCode>
                <c:ptCount val="12"/>
                <c:pt idx="0">
                  <c:v>3</c:v>
                </c:pt>
                <c:pt idx="1">
                  <c:v>0</c:v>
                </c:pt>
                <c:pt idx="2">
                  <c:v>1</c:v>
                </c:pt>
                <c:pt idx="3">
                  <c:v>1</c:v>
                </c:pt>
                <c:pt idx="4">
                  <c:v>1</c:v>
                </c:pt>
                <c:pt idx="5">
                  <c:v>1</c:v>
                </c:pt>
                <c:pt idx="6">
                  <c:v>1</c:v>
                </c:pt>
                <c:pt idx="7">
                  <c:v>1</c:v>
                </c:pt>
                <c:pt idx="8">
                  <c:v>2</c:v>
                </c:pt>
                <c:pt idx="9">
                  <c:v>1</c:v>
                </c:pt>
                <c:pt idx="10">
                  <c:v>0</c:v>
                </c:pt>
                <c:pt idx="11">
                  <c:v>1</c:v>
                </c:pt>
              </c:numCache>
            </c:numRef>
          </c:val>
          <c:extLst xmlns:c15="http://schemas.microsoft.com/office/drawing/2012/chart">
            <c:ext xmlns:c16="http://schemas.microsoft.com/office/drawing/2014/chart" uri="{C3380CC4-5D6E-409C-BE32-E72D297353CC}">
              <c16:uniqueId val="{00000000-0E0A-49EC-82AF-A8D2628E79DB}"/>
            </c:ext>
          </c:extLst>
        </c:ser>
        <c:ser>
          <c:idx val="1"/>
          <c:order val="1"/>
          <c:tx>
            <c:strRef>
              <c:f>'Incident Data'!$A$59</c:f>
              <c:strCache>
                <c:ptCount val="1"/>
                <c:pt idx="0">
                  <c:v>2026</c:v>
                </c:pt>
              </c:strCache>
            </c:strRef>
          </c:tx>
          <c:spPr>
            <a:solidFill>
              <a:schemeClr val="accent6"/>
            </a:solidFill>
            <a:ln>
              <a:solidFill>
                <a:schemeClr val="accent6"/>
              </a:solidFill>
            </a:ln>
            <a:effectLst/>
          </c:spPr>
          <c:invertIfNegative val="0"/>
          <c:cat>
            <c:strRef>
              <c:f>'Incident Data'!$B$57:$M$57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'Incident Data'!$B$59:$M$59</c:f>
              <c:numCache>
                <c:formatCode>General</c:formatCode>
                <c:ptCount val="12"/>
                <c:pt idx="0">
                  <c:v>1</c:v>
                </c:pt>
                <c:pt idx="1">
                  <c:v>2</c:v>
                </c:pt>
                <c:pt idx="2">
                  <c:v>2</c:v>
                </c:pt>
                <c:pt idx="3">
                  <c:v>1</c:v>
                </c:pt>
                <c:pt idx="4">
                  <c:v>0</c:v>
                </c:pt>
                <c:pt idx="5">
                  <c:v>2</c:v>
                </c:pt>
                <c:pt idx="6">
                  <c:v>3</c:v>
                </c:pt>
                <c:pt idx="7">
                  <c:v>2</c:v>
                </c:pt>
                <c:pt idx="8">
                  <c:v>1</c:v>
                </c:pt>
              </c:numCache>
            </c:numRef>
          </c:val>
          <c:extLst xmlns:c15="http://schemas.microsoft.com/office/drawing/2012/chart">
            <c:ext xmlns:c16="http://schemas.microsoft.com/office/drawing/2014/chart" uri="{C3380CC4-5D6E-409C-BE32-E72D297353CC}">
              <c16:uniqueId val="{00000001-0E0A-49EC-82AF-A8D2628E79DB}"/>
            </c:ext>
          </c:extLst>
        </c:ser>
        <c:dLbls>
          <c:showLegendKey val="0"/>
          <c:showVal val="0"/>
          <c:showCatName val="0"/>
          <c:showSerName val="0"/>
          <c:showPercent val="0"/>
          <c:showBubbleSize val="0"/>
        </c:dLbls>
        <c:gapWidth val="219"/>
        <c:axId val="1362791760"/>
        <c:axId val="1192898736"/>
        <c:extLst/>
      </c:barChart>
      <c:catAx>
        <c:axId val="1362791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898736"/>
        <c:crosses val="autoZero"/>
        <c:auto val="1"/>
        <c:lblAlgn val="ctr"/>
        <c:lblOffset val="100"/>
        <c:noMultiLvlLbl val="0"/>
      </c:catAx>
      <c:valAx>
        <c:axId val="11928987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7917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Environmental</a:t>
            </a:r>
            <a:r>
              <a:rPr lang="en-US" b="1" baseline="0">
                <a:solidFill>
                  <a:sysClr val="windowText" lastClr="000000"/>
                </a:solidFill>
              </a:rPr>
              <a:t> Excursions </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'Incident Data'!#REF!</c:f>
              <c:strCache>
                <c:ptCount val="1"/>
                <c:pt idx="0">
                  <c:v>#REF!</c:v>
                </c:pt>
              </c:strCache>
            </c:strRef>
          </c:tx>
          <c:spPr>
            <a:solidFill>
              <a:schemeClr val="accent1"/>
            </a:solidFill>
            <a:ln>
              <a:noFill/>
            </a:ln>
            <a:effectLst/>
          </c:spPr>
          <c:invertIfNegative val="0"/>
          <c:cat>
            <c:strRef>
              <c:f>'Incident Data'!$BH$6:$BS$6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'Incident Data'!#REF!</c:f>
              <c:numCache>
                <c:formatCode>General</c:formatCode>
                <c:ptCount val="1"/>
                <c:pt idx="0">
                  <c:v>1</c:v>
                </c:pt>
              </c:numCache>
            </c:numRef>
          </c:val>
          <c:extLst>
            <c:ext xmlns:c16="http://schemas.microsoft.com/office/drawing/2014/chart" uri="{C3380CC4-5D6E-409C-BE32-E72D297353CC}">
              <c16:uniqueId val="{00000000-B8E5-4650-955D-0A6E262082A6}"/>
            </c:ext>
          </c:extLst>
        </c:ser>
        <c:dLbls>
          <c:showLegendKey val="0"/>
          <c:showVal val="0"/>
          <c:showCatName val="0"/>
          <c:showSerName val="0"/>
          <c:showPercent val="0"/>
          <c:showBubbleSize val="0"/>
        </c:dLbls>
        <c:gapWidth val="219"/>
        <c:axId val="1452938336"/>
        <c:axId val="1359549840"/>
      </c:barChart>
      <c:lineChart>
        <c:grouping val="standard"/>
        <c:varyColors val="0"/>
        <c:ser>
          <c:idx val="1"/>
          <c:order val="1"/>
          <c:tx>
            <c:strRef>
              <c:f>'Incident Data'!$BG$7</c:f>
              <c:strCache>
                <c:ptCount val="1"/>
                <c:pt idx="0">
                  <c:v>2024</c:v>
                </c:pt>
              </c:strCache>
            </c:strRef>
          </c:tx>
          <c:spPr>
            <a:ln w="28575" cap="rnd">
              <a:solidFill>
                <a:schemeClr val="bg2">
                  <a:lumMod val="7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'Incident Data'!$BH$6:$BT$6</c:f>
              <c:strCache>
                <c:ptCount val="13"/>
                <c:pt idx="0">
                  <c:v>JAN</c:v>
                </c:pt>
                <c:pt idx="1">
                  <c:v>FEB</c:v>
                </c:pt>
                <c:pt idx="2">
                  <c:v>MAR</c:v>
                </c:pt>
                <c:pt idx="3">
                  <c:v>APR</c:v>
                </c:pt>
                <c:pt idx="4">
                  <c:v>MAY</c:v>
                </c:pt>
                <c:pt idx="5">
                  <c:v>JUN</c:v>
                </c:pt>
                <c:pt idx="6">
                  <c:v>JUL</c:v>
                </c:pt>
                <c:pt idx="7">
                  <c:v>AUG</c:v>
                </c:pt>
                <c:pt idx="8">
                  <c:v>SEP</c:v>
                </c:pt>
                <c:pt idx="9">
                  <c:v>OCT</c:v>
                </c:pt>
                <c:pt idx="10">
                  <c:v>NOV</c:v>
                </c:pt>
                <c:pt idx="11">
                  <c:v>DEC</c:v>
                </c:pt>
                <c:pt idx="12">
                  <c:v>Total</c:v>
                </c:pt>
              </c:strCache>
            </c:strRef>
          </c:cat>
          <c:val>
            <c:numRef>
              <c:f>'Incident Data'!$BH$7:$BS$7</c:f>
              <c:numCache>
                <c:formatCode>General</c:formatCode>
                <c:ptCount val="12"/>
              </c:numCache>
            </c:numRef>
          </c:val>
          <c:smooth val="0"/>
          <c:extLst>
            <c:ext xmlns:c16="http://schemas.microsoft.com/office/drawing/2014/chart" uri="{C3380CC4-5D6E-409C-BE32-E72D297353CC}">
              <c16:uniqueId val="{00000001-B8E5-4650-955D-0A6E262082A6}"/>
            </c:ext>
          </c:extLst>
        </c:ser>
        <c:ser>
          <c:idx val="2"/>
          <c:order val="2"/>
          <c:tx>
            <c:strRef>
              <c:f>'Incident Data'!$BG$2</c:f>
              <c:strCache>
                <c:ptCount val="1"/>
                <c:pt idx="0">
                  <c:v>Target</c:v>
                </c:pt>
              </c:strCache>
            </c:strRef>
          </c:tx>
          <c:spPr>
            <a:ln w="28575" cap="rnd">
              <a:solidFill>
                <a:schemeClr val="tx1"/>
              </a:solidFill>
              <a:round/>
            </a:ln>
            <a:effectLst/>
          </c:spPr>
          <c:marker>
            <c:symbol val="none"/>
          </c:marker>
          <c:cat>
            <c:strRef>
              <c:f>'Incident Data'!$BH$6:$BT$6</c:f>
              <c:strCache>
                <c:ptCount val="13"/>
                <c:pt idx="0">
                  <c:v>JAN</c:v>
                </c:pt>
                <c:pt idx="1">
                  <c:v>FEB</c:v>
                </c:pt>
                <c:pt idx="2">
                  <c:v>MAR</c:v>
                </c:pt>
                <c:pt idx="3">
                  <c:v>APR</c:v>
                </c:pt>
                <c:pt idx="4">
                  <c:v>MAY</c:v>
                </c:pt>
                <c:pt idx="5">
                  <c:v>JUN</c:v>
                </c:pt>
                <c:pt idx="6">
                  <c:v>JUL</c:v>
                </c:pt>
                <c:pt idx="7">
                  <c:v>AUG</c:v>
                </c:pt>
                <c:pt idx="8">
                  <c:v>SEP</c:v>
                </c:pt>
                <c:pt idx="9">
                  <c:v>OCT</c:v>
                </c:pt>
                <c:pt idx="10">
                  <c:v>NOV</c:v>
                </c:pt>
                <c:pt idx="11">
                  <c:v>DEC</c:v>
                </c:pt>
                <c:pt idx="12">
                  <c:v>Total</c:v>
                </c:pt>
              </c:strCache>
            </c:strRef>
          </c:cat>
          <c:val>
            <c:numRef>
              <c:f>'Incident Data'!$BH$2:$BT$2</c:f>
              <c:numCache>
                <c:formatCode>General</c:formatCode>
                <c:ptCount val="13"/>
                <c:pt idx="0">
                  <c:v>60</c:v>
                </c:pt>
                <c:pt idx="1">
                  <c:v>60</c:v>
                </c:pt>
                <c:pt idx="2">
                  <c:v>60</c:v>
                </c:pt>
                <c:pt idx="3">
                  <c:v>60</c:v>
                </c:pt>
                <c:pt idx="4">
                  <c:v>60</c:v>
                </c:pt>
                <c:pt idx="5">
                  <c:v>60</c:v>
                </c:pt>
                <c:pt idx="6">
                  <c:v>60</c:v>
                </c:pt>
                <c:pt idx="7">
                  <c:v>60</c:v>
                </c:pt>
                <c:pt idx="8">
                  <c:v>60</c:v>
                </c:pt>
                <c:pt idx="9">
                  <c:v>60</c:v>
                </c:pt>
                <c:pt idx="10">
                  <c:v>60</c:v>
                </c:pt>
                <c:pt idx="11">
                  <c:v>60</c:v>
                </c:pt>
                <c:pt idx="12">
                  <c:v>60</c:v>
                </c:pt>
              </c:numCache>
            </c:numRef>
          </c:val>
          <c:smooth val="0"/>
          <c:extLst>
            <c:ext xmlns:c16="http://schemas.microsoft.com/office/drawing/2014/chart" uri="{C3380CC4-5D6E-409C-BE32-E72D297353CC}">
              <c16:uniqueId val="{00000000-1DFC-494A-8EDF-AAAA347A3AC6}"/>
            </c:ext>
          </c:extLst>
        </c:ser>
        <c:ser>
          <c:idx val="3"/>
          <c:order val="3"/>
          <c:tx>
            <c:strRef>
              <c:f>'Incident Data'!$BG$3</c:f>
              <c:strCache>
                <c:ptCount val="1"/>
                <c:pt idx="0">
                  <c:v>Actual</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'Incident Data'!$BH$6:$BT$6</c:f>
              <c:strCache>
                <c:ptCount val="13"/>
                <c:pt idx="0">
                  <c:v>JAN</c:v>
                </c:pt>
                <c:pt idx="1">
                  <c:v>FEB</c:v>
                </c:pt>
                <c:pt idx="2">
                  <c:v>MAR</c:v>
                </c:pt>
                <c:pt idx="3">
                  <c:v>APR</c:v>
                </c:pt>
                <c:pt idx="4">
                  <c:v>MAY</c:v>
                </c:pt>
                <c:pt idx="5">
                  <c:v>JUN</c:v>
                </c:pt>
                <c:pt idx="6">
                  <c:v>JUL</c:v>
                </c:pt>
                <c:pt idx="7">
                  <c:v>AUG</c:v>
                </c:pt>
                <c:pt idx="8">
                  <c:v>SEP</c:v>
                </c:pt>
                <c:pt idx="9">
                  <c:v>OCT</c:v>
                </c:pt>
                <c:pt idx="10">
                  <c:v>NOV</c:v>
                </c:pt>
                <c:pt idx="11">
                  <c:v>DEC</c:v>
                </c:pt>
                <c:pt idx="12">
                  <c:v>Total</c:v>
                </c:pt>
              </c:strCache>
            </c:strRef>
          </c:cat>
          <c:val>
            <c:numRef>
              <c:f>'Incident Data'!$BH$3:$BR$3</c:f>
              <c:numCache>
                <c:formatCode>General</c:formatCode>
                <c:ptCount val="11"/>
              </c:numCache>
            </c:numRef>
          </c:val>
          <c:smooth val="0"/>
          <c:extLst>
            <c:ext xmlns:c16="http://schemas.microsoft.com/office/drawing/2014/chart" uri="{C3380CC4-5D6E-409C-BE32-E72D297353CC}">
              <c16:uniqueId val="{00000001-1DFC-494A-8EDF-AAAA347A3AC6}"/>
            </c:ext>
          </c:extLst>
        </c:ser>
        <c:dLbls>
          <c:showLegendKey val="0"/>
          <c:showVal val="0"/>
          <c:showCatName val="0"/>
          <c:showSerName val="0"/>
          <c:showPercent val="0"/>
          <c:showBubbleSize val="0"/>
        </c:dLbls>
        <c:marker val="1"/>
        <c:smooth val="0"/>
        <c:axId val="1452938336"/>
        <c:axId val="1359549840"/>
      </c:lineChart>
      <c:catAx>
        <c:axId val="145293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549840"/>
        <c:crosses val="autoZero"/>
        <c:auto val="1"/>
        <c:lblAlgn val="ctr"/>
        <c:lblOffset val="100"/>
        <c:noMultiLvlLbl val="0"/>
      </c:catAx>
      <c:valAx>
        <c:axId val="13595498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9383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Total</a:t>
            </a:r>
            <a:r>
              <a:rPr lang="en-US" b="1" baseline="0">
                <a:solidFill>
                  <a:sysClr val="windowText" lastClr="000000"/>
                </a:solidFill>
              </a:rPr>
              <a:t> HSE Incidents </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1"/>
          <c:order val="1"/>
          <c:tx>
            <c:strRef>
              <c:f>'Incident Data'!$AH$72</c:f>
              <c:strCache>
                <c:ptCount val="1"/>
                <c:pt idx="0">
                  <c:v>2026</c:v>
                </c:pt>
              </c:strCache>
            </c:strRef>
          </c:tx>
          <c:spPr>
            <a:solidFill>
              <a:schemeClr val="accent2"/>
            </a:solidFill>
            <a:ln>
              <a:solidFill>
                <a:srgbClr val="FFC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'Incident Data'!$AI$70:$AR$70</c15:sqref>
                  </c15:fullRef>
                </c:ext>
              </c:extLst>
              <c:f>'Incident Data'!$AI$70:$AQ$70</c:f>
              <c:strCache>
                <c:ptCount val="9"/>
                <c:pt idx="0">
                  <c:v>Jan</c:v>
                </c:pt>
                <c:pt idx="1">
                  <c:v>Feb</c:v>
                </c:pt>
                <c:pt idx="2">
                  <c:v>Mar</c:v>
                </c:pt>
                <c:pt idx="3">
                  <c:v>Apr</c:v>
                </c:pt>
                <c:pt idx="4">
                  <c:v>May</c:v>
                </c:pt>
                <c:pt idx="5">
                  <c:v>Jun</c:v>
                </c:pt>
                <c:pt idx="6">
                  <c:v>Jul</c:v>
                </c:pt>
                <c:pt idx="7">
                  <c:v>Aug</c:v>
                </c:pt>
                <c:pt idx="8">
                  <c:v>Sep</c:v>
                </c:pt>
              </c:strCache>
            </c:strRef>
          </c:cat>
          <c:val>
            <c:numRef>
              <c:extLst>
                <c:ext xmlns:c15="http://schemas.microsoft.com/office/drawing/2012/chart" uri="{02D57815-91ED-43cb-92C2-25804820EDAC}">
                  <c15:fullRef>
                    <c15:sqref>'Incident Data'!$AI$72:$AT$72</c15:sqref>
                  </c15:fullRef>
                </c:ext>
              </c:extLst>
              <c:f>'Incident Data'!$AI$72:$AQ$72</c:f>
              <c:numCache>
                <c:formatCode>General</c:formatCode>
                <c:ptCount val="9"/>
                <c:pt idx="0">
                  <c:v>5</c:v>
                </c:pt>
                <c:pt idx="1">
                  <c:v>6</c:v>
                </c:pt>
                <c:pt idx="2">
                  <c:v>5</c:v>
                </c:pt>
                <c:pt idx="3">
                  <c:v>6</c:v>
                </c:pt>
                <c:pt idx="4">
                  <c:v>2</c:v>
                </c:pt>
                <c:pt idx="5">
                  <c:v>4</c:v>
                </c:pt>
                <c:pt idx="6">
                  <c:v>5</c:v>
                </c:pt>
                <c:pt idx="7">
                  <c:v>3</c:v>
                </c:pt>
                <c:pt idx="8">
                  <c:v>4</c:v>
                </c:pt>
              </c:numCache>
            </c:numRef>
          </c:val>
          <c:extLst>
            <c:ext xmlns:c16="http://schemas.microsoft.com/office/drawing/2014/chart" uri="{C3380CC4-5D6E-409C-BE32-E72D297353CC}">
              <c16:uniqueId val="{00000001-D121-4C81-9A06-6F6AC5A791AC}"/>
            </c:ext>
          </c:extLst>
        </c:ser>
        <c:dLbls>
          <c:showLegendKey val="0"/>
          <c:showVal val="0"/>
          <c:showCatName val="0"/>
          <c:showSerName val="0"/>
          <c:showPercent val="0"/>
          <c:showBubbleSize val="0"/>
        </c:dLbls>
        <c:gapWidth val="219"/>
        <c:axId val="1513436704"/>
        <c:axId val="1512821888"/>
      </c:barChart>
      <c:lineChart>
        <c:grouping val="stacked"/>
        <c:varyColors val="0"/>
        <c:ser>
          <c:idx val="0"/>
          <c:order val="0"/>
          <c:tx>
            <c:strRef>
              <c:f>'Incident Data'!$AH$71</c:f>
              <c:strCache>
                <c:ptCount val="1"/>
                <c:pt idx="0">
                  <c:v>2025</c:v>
                </c:pt>
              </c:strCache>
            </c:strRef>
          </c:tx>
          <c:spPr>
            <a:ln w="28575" cap="rnd">
              <a:solidFill>
                <a:schemeClr val="bg1">
                  <a:lumMod val="65000"/>
                </a:schemeClr>
              </a:solidFill>
              <a:round/>
            </a:ln>
            <a:effectLst/>
          </c:spPr>
          <c:marker>
            <c:symbol val="circle"/>
            <c:size val="5"/>
            <c:spPr>
              <a:solidFill>
                <a:schemeClr val="bg1">
                  <a:lumMod val="65000"/>
                </a:schemeClr>
              </a:solidFill>
              <a:ln w="9525">
                <a:solidFill>
                  <a:schemeClr val="bg1">
                    <a:lumMod val="65000"/>
                  </a:schemeClr>
                </a:solidFill>
              </a:ln>
              <a:effectLst/>
            </c:spPr>
          </c:marker>
          <c:cat>
            <c:strRef>
              <c:extLst>
                <c:ext xmlns:c15="http://schemas.microsoft.com/office/drawing/2012/chart" uri="{02D57815-91ED-43cb-92C2-25804820EDAC}">
                  <c15:fullRef>
                    <c15:sqref>'Incident Data'!$AI$70:$AS$70</c15:sqref>
                  </c15:fullRef>
                </c:ext>
              </c:extLst>
              <c:f>'Incident Data'!$AI$70:$AQ$70</c:f>
              <c:strCache>
                <c:ptCount val="9"/>
                <c:pt idx="0">
                  <c:v>Jan</c:v>
                </c:pt>
                <c:pt idx="1">
                  <c:v>Feb</c:v>
                </c:pt>
                <c:pt idx="2">
                  <c:v>Mar</c:v>
                </c:pt>
                <c:pt idx="3">
                  <c:v>Apr</c:v>
                </c:pt>
                <c:pt idx="4">
                  <c:v>May</c:v>
                </c:pt>
                <c:pt idx="5">
                  <c:v>Jun</c:v>
                </c:pt>
                <c:pt idx="6">
                  <c:v>Jul</c:v>
                </c:pt>
                <c:pt idx="7">
                  <c:v>Aug</c:v>
                </c:pt>
                <c:pt idx="8">
                  <c:v>Sep</c:v>
                </c:pt>
              </c:strCache>
            </c:strRef>
          </c:cat>
          <c:val>
            <c:numRef>
              <c:extLst>
                <c:ext xmlns:c15="http://schemas.microsoft.com/office/drawing/2012/chart" uri="{02D57815-91ED-43cb-92C2-25804820EDAC}">
                  <c15:fullRef>
                    <c15:sqref>'Incident Data'!$AI$71:$AT$71</c15:sqref>
                  </c15:fullRef>
                </c:ext>
              </c:extLst>
              <c:f>'Incident Data'!$AI$71:$AQ$71</c:f>
              <c:numCache>
                <c:formatCode>General</c:formatCode>
                <c:ptCount val="9"/>
                <c:pt idx="0">
                  <c:v>5</c:v>
                </c:pt>
                <c:pt idx="1">
                  <c:v>0</c:v>
                </c:pt>
                <c:pt idx="2">
                  <c:v>4</c:v>
                </c:pt>
                <c:pt idx="3">
                  <c:v>5</c:v>
                </c:pt>
                <c:pt idx="4">
                  <c:v>2</c:v>
                </c:pt>
                <c:pt idx="5">
                  <c:v>4</c:v>
                </c:pt>
                <c:pt idx="6">
                  <c:v>6</c:v>
                </c:pt>
                <c:pt idx="7">
                  <c:v>6</c:v>
                </c:pt>
                <c:pt idx="8">
                  <c:v>4</c:v>
                </c:pt>
              </c:numCache>
            </c:numRef>
          </c:val>
          <c:smooth val="0"/>
          <c:extLst>
            <c:ext xmlns:c16="http://schemas.microsoft.com/office/drawing/2014/chart" uri="{C3380CC4-5D6E-409C-BE32-E72D297353CC}">
              <c16:uniqueId val="{00000000-D121-4C81-9A06-6F6AC5A791AC}"/>
            </c:ext>
          </c:extLst>
        </c:ser>
        <c:dLbls>
          <c:showLegendKey val="0"/>
          <c:showVal val="0"/>
          <c:showCatName val="0"/>
          <c:showSerName val="0"/>
          <c:showPercent val="0"/>
          <c:showBubbleSize val="0"/>
        </c:dLbls>
        <c:marker val="1"/>
        <c:smooth val="0"/>
        <c:axId val="1513436704"/>
        <c:axId val="1512821888"/>
      </c:lineChart>
      <c:catAx>
        <c:axId val="1513436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821888"/>
        <c:crosses val="autoZero"/>
        <c:auto val="1"/>
        <c:lblAlgn val="ctr"/>
        <c:lblOffset val="100"/>
        <c:noMultiLvlLbl val="0"/>
      </c:catAx>
      <c:valAx>
        <c:axId val="15128218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4367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PSM</a:t>
            </a:r>
            <a:r>
              <a:rPr lang="en-US" b="1" baseline="0">
                <a:solidFill>
                  <a:sysClr val="windowText" lastClr="000000"/>
                </a:solidFill>
              </a:rPr>
              <a:t> Incidents </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'Incident Data'!$AH$93</c:f>
              <c:strCache>
                <c:ptCount val="1"/>
                <c:pt idx="0">
                  <c:v>2025</c:v>
                </c:pt>
              </c:strCache>
            </c:strRef>
          </c:tx>
          <c:spPr>
            <a:solidFill>
              <a:schemeClr val="bg1">
                <a:lumMod val="65000"/>
              </a:schemeClr>
            </a:solidFill>
            <a:ln>
              <a:solidFill>
                <a:schemeClr val="bg1">
                  <a:lumMod val="65000"/>
                </a:schemeClr>
              </a:solidFill>
            </a:ln>
            <a:effectLst/>
          </c:spPr>
          <c:invertIfNegative val="0"/>
          <c:cat>
            <c:strRef>
              <c:f>'Incident Data'!$AI$92:$AT$92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'Incident Data'!$AI$93:$AT$93</c:f>
              <c:numCache>
                <c:formatCode>General</c:formatCode>
                <c:ptCount val="12"/>
              </c:numCache>
            </c:numRef>
          </c:val>
          <c:extLst>
            <c:ext xmlns:c16="http://schemas.microsoft.com/office/drawing/2014/chart" uri="{C3380CC4-5D6E-409C-BE32-E72D297353CC}">
              <c16:uniqueId val="{00000000-EF5F-4C85-A0DC-E55EE5BC8705}"/>
            </c:ext>
          </c:extLst>
        </c:ser>
        <c:dLbls>
          <c:showLegendKey val="0"/>
          <c:showVal val="0"/>
          <c:showCatName val="0"/>
          <c:showSerName val="0"/>
          <c:showPercent val="0"/>
          <c:showBubbleSize val="0"/>
        </c:dLbls>
        <c:gapWidth val="219"/>
        <c:axId val="1398085632"/>
        <c:axId val="1394956784"/>
      </c:barChart>
      <c:lineChart>
        <c:grouping val="standard"/>
        <c:varyColors val="0"/>
        <c:ser>
          <c:idx val="1"/>
          <c:order val="1"/>
          <c:tx>
            <c:strRef>
              <c:f>'Incident Data'!$AH$94</c:f>
              <c:strCache>
                <c:ptCount val="1"/>
                <c:pt idx="0">
                  <c:v>2026</c:v>
                </c:pt>
              </c:strCache>
            </c:strRef>
          </c:tx>
          <c:spPr>
            <a:ln w="28575" cap="rnd">
              <a:solidFill>
                <a:srgbClr val="FFC0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'Incident Data'!$AI$92:$AT$92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'Incident Data'!$AI$94:$AT$94</c:f>
              <c:numCache>
                <c:formatCode>General</c:formatCode>
                <c:ptCount val="12"/>
                <c:pt idx="1">
                  <c:v>1</c:v>
                </c:pt>
                <c:pt idx="2">
                  <c:v>1</c:v>
                </c:pt>
                <c:pt idx="3">
                  <c:v>1</c:v>
                </c:pt>
              </c:numCache>
            </c:numRef>
          </c:val>
          <c:smooth val="0"/>
          <c:extLst>
            <c:ext xmlns:c16="http://schemas.microsoft.com/office/drawing/2014/chart" uri="{C3380CC4-5D6E-409C-BE32-E72D297353CC}">
              <c16:uniqueId val="{00000001-EF5F-4C85-A0DC-E55EE5BC8705}"/>
            </c:ext>
          </c:extLst>
        </c:ser>
        <c:dLbls>
          <c:showLegendKey val="0"/>
          <c:showVal val="0"/>
          <c:showCatName val="0"/>
          <c:showSerName val="0"/>
          <c:showPercent val="0"/>
          <c:showBubbleSize val="0"/>
        </c:dLbls>
        <c:marker val="1"/>
        <c:smooth val="0"/>
        <c:axId val="1398085632"/>
        <c:axId val="1394956784"/>
      </c:lineChart>
      <c:catAx>
        <c:axId val="1398085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956784"/>
        <c:crosses val="autoZero"/>
        <c:auto val="1"/>
        <c:lblAlgn val="ctr"/>
        <c:lblOffset val="100"/>
        <c:noMultiLvlLbl val="0"/>
      </c:catAx>
      <c:valAx>
        <c:axId val="13949567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0856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LOPC</a:t>
            </a:r>
            <a:r>
              <a:rPr lang="en-US" baseline="0"/>
              <a:t> Failure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F26-4526-B1E0-56419967D08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F26-4526-B1E0-56419967D08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F26-4526-B1E0-56419967D08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F26-4526-B1E0-56419967D08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F26-4526-B1E0-56419967D08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F26-4526-B1E0-56419967D08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F26-4526-B1E0-56419967D08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3918-40C2-BA36-F6113B7CD8C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1668-41C9-875A-9EB052858F7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'Incident Data'!$A$97:$A$105</c:f>
              <c:strCache>
                <c:ptCount val="9"/>
                <c:pt idx="0">
                  <c:v>Pipe</c:v>
                </c:pt>
                <c:pt idx="1">
                  <c:v>Pump Seal</c:v>
                </c:pt>
                <c:pt idx="2">
                  <c:v>Pump Bowl</c:v>
                </c:pt>
                <c:pt idx="3">
                  <c:v>Gasket/ Fitting/ Valve</c:v>
                </c:pt>
                <c:pt idx="4">
                  <c:v>Tank Weld </c:v>
                </c:pt>
                <c:pt idx="5">
                  <c:v>Process hose</c:v>
                </c:pt>
                <c:pt idx="6">
                  <c:v>Adgitator seal </c:v>
                </c:pt>
                <c:pt idx="7">
                  <c:v>PRD</c:v>
                </c:pt>
                <c:pt idx="8">
                  <c:v>Other </c:v>
                </c:pt>
              </c:strCache>
            </c:strRef>
          </c:cat>
          <c:val>
            <c:numRef>
              <c:f>'Incident Data'!$B$97:$B$105</c:f>
              <c:numCache>
                <c:formatCode>General</c:formatCode>
                <c:ptCount val="9"/>
              </c:numCache>
            </c:numRef>
          </c:val>
          <c:extLst>
            <c:ext xmlns:c16="http://schemas.microsoft.com/office/drawing/2014/chart" uri="{C3380CC4-5D6E-409C-BE32-E72D297353CC}">
              <c16:uniqueId val="{00000000-23C1-49AB-96C7-D776D8255032}"/>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'Incident Data'!$A$9</c:f>
              <c:strCache>
                <c:ptCount val="1"/>
                <c:pt idx="0">
                  <c:v>Incident type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0CA-44E0-804C-B91AE4409EB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0CA-44E0-804C-B91AE4409EB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0CA-44E0-804C-B91AE4409EB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0CA-44E0-804C-B91AE4409EB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142-4B81-83D9-A6864266B93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0CA-44E0-804C-B91AE4409EB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0CA-44E0-804C-B91AE4409EB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0CA-44E0-804C-B91AE4409EB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8142-4B81-83D9-A6864266B939}"/>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D6F8-4B32-BC7B-0E5788F7AC6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'Incident Data'!$A$11:$A$25</c15:sqref>
                  </c15:fullRef>
                </c:ext>
              </c:extLst>
              <c:f>('Incident Data'!$A$11:$A$12,'Incident Data'!$A$17:$A$19,'Incident Data'!$A$21:$A$25)</c:f>
              <c:strCache>
                <c:ptCount val="10"/>
                <c:pt idx="0">
                  <c:v>First Aid</c:v>
                </c:pt>
                <c:pt idx="1">
                  <c:v>Recordable Injury</c:v>
                </c:pt>
                <c:pt idx="2">
                  <c:v>Spill/  Release</c:v>
                </c:pt>
                <c:pt idx="3">
                  <c:v>Fire</c:v>
                </c:pt>
                <c:pt idx="4">
                  <c:v>Hazardous Condition </c:v>
                </c:pt>
                <c:pt idx="5">
                  <c:v>Property Damage</c:v>
                </c:pt>
                <c:pt idx="6">
                  <c:v>Equipment Damage</c:v>
                </c:pt>
                <c:pt idx="7">
                  <c:v>Non-Work-Related</c:v>
                </c:pt>
                <c:pt idx="8">
                  <c:v>Regulatory </c:v>
                </c:pt>
                <c:pt idx="9">
                  <c:v>PSIF</c:v>
                </c:pt>
              </c:strCache>
            </c:strRef>
          </c:cat>
          <c:val>
            <c:numRef>
              <c:extLst>
                <c:ext xmlns:c15="http://schemas.microsoft.com/office/drawing/2012/chart" uri="{02D57815-91ED-43cb-92C2-25804820EDAC}">
                  <c15:fullRef>
                    <c15:sqref>'Incident Data'!$N$11:$N$25</c15:sqref>
                  </c15:fullRef>
                </c:ext>
              </c:extLst>
              <c:f>('Incident Data'!$N$11:$N$12,'Incident Data'!$N$17:$N$19,'Incident Data'!$N$21:$N$25)</c:f>
              <c:numCache>
                <c:formatCode>General</c:formatCode>
                <c:ptCount val="10"/>
                <c:pt idx="0">
                  <c:v>5</c:v>
                </c:pt>
                <c:pt idx="1">
                  <c:v>1</c:v>
                </c:pt>
                <c:pt idx="2">
                  <c:v>14</c:v>
                </c:pt>
                <c:pt idx="3">
                  <c:v>1</c:v>
                </c:pt>
                <c:pt idx="4">
                  <c:v>4</c:v>
                </c:pt>
                <c:pt idx="5">
                  <c:v>6</c:v>
                </c:pt>
                <c:pt idx="6">
                  <c:v>8</c:v>
                </c:pt>
                <c:pt idx="7">
                  <c:v>4</c:v>
                </c:pt>
                <c:pt idx="8">
                  <c:v>0</c:v>
                </c:pt>
                <c:pt idx="9">
                  <c:v>5</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0-05BE-4982-A6B1-78E19165CFD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'Incident Data'!$AH$116</c:f>
              <c:strCache>
                <c:ptCount val="1"/>
                <c:pt idx="0">
                  <c:v>Equipment Failure</c:v>
                </c:pt>
              </c:strCache>
            </c:strRef>
          </c:tx>
          <c:spPr>
            <a:solidFill>
              <a:schemeClr val="accent1"/>
            </a:solidFill>
            <a:ln>
              <a:noFill/>
            </a:ln>
            <a:effectLst/>
          </c:spPr>
          <c:invertIfNegative val="0"/>
          <c:cat>
            <c:strRef>
              <c:f>'Incident Data'!$AI$115:$AT$115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'Incident Data'!$AI$116:$AT$116</c:f>
              <c:numCache>
                <c:formatCode>General</c:formatCode>
                <c:ptCount val="12"/>
                <c:pt idx="0">
                  <c:v>0</c:v>
                </c:pt>
                <c:pt idx="1">
                  <c:v>0</c:v>
                </c:pt>
                <c:pt idx="2">
                  <c:v>1</c:v>
                </c:pt>
                <c:pt idx="3">
                  <c:v>4</c:v>
                </c:pt>
                <c:pt idx="4">
                  <c:v>0</c:v>
                </c:pt>
                <c:pt idx="5">
                  <c:v>2</c:v>
                </c:pt>
                <c:pt idx="6">
                  <c:v>0</c:v>
                </c:pt>
                <c:pt idx="7">
                  <c:v>0</c:v>
                </c:pt>
                <c:pt idx="8">
                  <c:v>1</c:v>
                </c:pt>
                <c:pt idx="9">
                  <c:v>0</c:v>
                </c:pt>
                <c:pt idx="10">
                  <c:v>0</c:v>
                </c:pt>
                <c:pt idx="11">
                  <c:v>0</c:v>
                </c:pt>
              </c:numCache>
            </c:numRef>
          </c:val>
          <c:extLst>
            <c:ext xmlns:c16="http://schemas.microsoft.com/office/drawing/2014/chart" uri="{C3380CC4-5D6E-409C-BE32-E72D297353CC}">
              <c16:uniqueId val="{00000000-DFF9-4F99-9DDB-5735CDCB207A}"/>
            </c:ext>
          </c:extLst>
        </c:ser>
        <c:ser>
          <c:idx val="1"/>
          <c:order val="1"/>
          <c:tx>
            <c:strRef>
              <c:f>'Incident Data'!$AH$117</c:f>
              <c:strCache>
                <c:ptCount val="1"/>
                <c:pt idx="0">
                  <c:v>Property Damage </c:v>
                </c:pt>
              </c:strCache>
            </c:strRef>
          </c:tx>
          <c:spPr>
            <a:solidFill>
              <a:schemeClr val="accent2"/>
            </a:solidFill>
            <a:ln>
              <a:noFill/>
            </a:ln>
            <a:effectLst/>
          </c:spPr>
          <c:invertIfNegative val="0"/>
          <c:cat>
            <c:strRef>
              <c:f>'Incident Data'!$AI$115:$AT$115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'Incident Data'!$AI$117:$AT$117</c:f>
              <c:numCache>
                <c:formatCode>General</c:formatCode>
                <c:ptCount val="12"/>
                <c:pt idx="0">
                  <c:v>1</c:v>
                </c:pt>
                <c:pt idx="1">
                  <c:v>1</c:v>
                </c:pt>
                <c:pt idx="2">
                  <c:v>0</c:v>
                </c:pt>
                <c:pt idx="3">
                  <c:v>0</c:v>
                </c:pt>
                <c:pt idx="4">
                  <c:v>2</c:v>
                </c:pt>
                <c:pt idx="5">
                  <c:v>0</c:v>
                </c:pt>
                <c:pt idx="6">
                  <c:v>2</c:v>
                </c:pt>
                <c:pt idx="7">
                  <c:v>0</c:v>
                </c:pt>
                <c:pt idx="8">
                  <c:v>0</c:v>
                </c:pt>
                <c:pt idx="9">
                  <c:v>0</c:v>
                </c:pt>
                <c:pt idx="10">
                  <c:v>0</c:v>
                </c:pt>
                <c:pt idx="11">
                  <c:v>0</c:v>
                </c:pt>
              </c:numCache>
            </c:numRef>
          </c:val>
          <c:extLst>
            <c:ext xmlns:c16="http://schemas.microsoft.com/office/drawing/2014/chart" uri="{C3380CC4-5D6E-409C-BE32-E72D297353CC}">
              <c16:uniqueId val="{00000001-DFF9-4F99-9DDB-5735CDCB207A}"/>
            </c:ext>
          </c:extLst>
        </c:ser>
        <c:dLbls>
          <c:showLegendKey val="0"/>
          <c:showVal val="0"/>
          <c:showCatName val="0"/>
          <c:showSerName val="0"/>
          <c:showPercent val="0"/>
          <c:showBubbleSize val="0"/>
        </c:dLbls>
        <c:gapWidth val="219"/>
        <c:overlap val="-27"/>
        <c:axId val="1416256479"/>
        <c:axId val="1416256959"/>
      </c:barChart>
      <c:catAx>
        <c:axId val="1416256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256959"/>
        <c:crosses val="autoZero"/>
        <c:auto val="1"/>
        <c:lblAlgn val="ctr"/>
        <c:lblOffset val="100"/>
        <c:noMultiLvlLbl val="0"/>
      </c:catAx>
      <c:valAx>
        <c:axId val="14162569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2564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Body</a:t>
            </a:r>
            <a:r>
              <a:rPr lang="en-US" baseline="0"/>
              <a:t> Part Involved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50F-41B3-9B26-5EFA61CF61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50F-41B3-9B26-5EFA61CF61C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50F-41B3-9B26-5EFA61CF61C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50F-41B3-9B26-5EFA61CF61C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50F-41B3-9B26-5EFA61CF61C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'Incident Data'!$AX$36:$AX$40</c:f>
              <c:strCache>
                <c:ptCount val="5"/>
                <c:pt idx="0">
                  <c:v>Eye</c:v>
                </c:pt>
                <c:pt idx="1">
                  <c:v>Knee</c:v>
                </c:pt>
                <c:pt idx="2">
                  <c:v>Feet</c:v>
                </c:pt>
                <c:pt idx="3">
                  <c:v>Fingers</c:v>
                </c:pt>
                <c:pt idx="4">
                  <c:v>Hand</c:v>
                </c:pt>
              </c:strCache>
            </c:strRef>
          </c:cat>
          <c:val>
            <c:numRef>
              <c:f>'Incident Data'!$AY$36:$AY$40</c:f>
              <c:numCache>
                <c:formatCode>General</c:formatCode>
                <c:ptCount val="5"/>
                <c:pt idx="0">
                  <c:v>1</c:v>
                </c:pt>
                <c:pt idx="3">
                  <c:v>4</c:v>
                </c:pt>
              </c:numCache>
            </c:numRef>
          </c:val>
          <c:extLst>
            <c:ext xmlns:c16="http://schemas.microsoft.com/office/drawing/2014/chart" uri="{C3380CC4-5D6E-409C-BE32-E72D297353CC}">
              <c16:uniqueId val="{00000000-26CA-482E-9803-CCDDA964F2DB}"/>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Injury</a:t>
            </a:r>
            <a:r>
              <a:rPr lang="en-US" baseline="0"/>
              <a:t> Cause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914-45E0-AB5B-DD99CAB3CE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914-45E0-AB5B-DD99CAB3CE4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914-45E0-AB5B-DD99CAB3CE4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914-45E0-AB5B-DD99CAB3CE4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914-45E0-AB5B-DD99CAB3CE4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571-439B-A86B-899B53BC544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571-439B-A86B-899B53BC5440}"/>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571-439B-A86B-899B53BC5440}"/>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4571-439B-A86B-899B53BC5440}"/>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4571-439B-A86B-899B53BC5440}"/>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4571-439B-A86B-899B53BC5440}"/>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4571-439B-A86B-899B53BC5440}"/>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4571-439B-A86B-899B53BC5440}"/>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4571-439B-A86B-899B53BC5440}"/>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4571-439B-A86B-899B53BC544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'Incident Data'!$BA$6:$BA$20</c:f>
              <c:strCache>
                <c:ptCount val="15"/>
                <c:pt idx="0">
                  <c:v>Contact By</c:v>
                </c:pt>
                <c:pt idx="1">
                  <c:v>Contact With</c:v>
                </c:pt>
                <c:pt idx="2">
                  <c:v>Caught In</c:v>
                </c:pt>
                <c:pt idx="3">
                  <c:v>Slip/Trip (No Fall)</c:v>
                </c:pt>
                <c:pt idx="4">
                  <c:v>Sprain</c:v>
                </c:pt>
                <c:pt idx="5">
                  <c:v>Caught Between </c:v>
                </c:pt>
                <c:pt idx="6">
                  <c:v>Caught On</c:v>
                </c:pt>
                <c:pt idx="7">
                  <c:v>Exposure</c:v>
                </c:pt>
                <c:pt idx="8">
                  <c:v>Fall Below</c:v>
                </c:pt>
                <c:pt idx="9">
                  <c:v>Fall Same Level</c:v>
                </c:pt>
                <c:pt idx="10">
                  <c:v>Foreign Body</c:v>
                </c:pt>
                <c:pt idx="11">
                  <c:v>Strain (Overexertion)</c:v>
                </c:pt>
                <c:pt idx="12">
                  <c:v>Struck Against</c:v>
                </c:pt>
                <c:pt idx="14">
                  <c:v>Struck By</c:v>
                </c:pt>
              </c:strCache>
            </c:strRef>
          </c:cat>
          <c:val>
            <c:numRef>
              <c:f>'Incident Data'!$BB$6:$BB$20</c:f>
              <c:numCache>
                <c:formatCode>General</c:formatCode>
                <c:ptCount val="15"/>
                <c:pt idx="1">
                  <c:v>1</c:v>
                </c:pt>
                <c:pt idx="2">
                  <c:v>1</c:v>
                </c:pt>
                <c:pt idx="5">
                  <c:v>1</c:v>
                </c:pt>
                <c:pt idx="6">
                  <c:v>0</c:v>
                </c:pt>
                <c:pt idx="7">
                  <c:v>1</c:v>
                </c:pt>
                <c:pt idx="8">
                  <c:v>0</c:v>
                </c:pt>
                <c:pt idx="9">
                  <c:v>0</c:v>
                </c:pt>
                <c:pt idx="10">
                  <c:v>0</c:v>
                </c:pt>
                <c:pt idx="11">
                  <c:v>0</c:v>
                </c:pt>
                <c:pt idx="12">
                  <c:v>0</c:v>
                </c:pt>
                <c:pt idx="14">
                  <c:v>1</c:v>
                </c:pt>
              </c:numCache>
            </c:numRef>
          </c:val>
          <c:extLst>
            <c:ext xmlns:c16="http://schemas.microsoft.com/office/drawing/2014/chart" uri="{C3380CC4-5D6E-409C-BE32-E72D297353CC}">
              <c16:uniqueId val="{00000000-3A46-4F12-B868-F41AE53BF34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Near</a:t>
            </a:r>
            <a:r>
              <a:rPr lang="en-US" b="1" baseline="0"/>
              <a:t> Miss Potential YTD</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'Incident Data'!$Q$21</c:f>
              <c:strCache>
                <c:ptCount val="1"/>
                <c:pt idx="0">
                  <c:v>Total</c:v>
                </c:pt>
              </c:strCache>
            </c:strRef>
          </c:tx>
          <c:spPr>
            <a:solidFill>
              <a:schemeClr val="accent1"/>
            </a:solidFill>
            <a:ln>
              <a:noFill/>
            </a:ln>
            <a:effectLst/>
          </c:spPr>
          <c:invertIfNegative val="0"/>
          <c:cat>
            <c:strRef>
              <c:f>'Incident Data'!$P$22:$P$28</c:f>
              <c:strCache>
                <c:ptCount val="7"/>
                <c:pt idx="0">
                  <c:v>Lost Time Injury</c:v>
                </c:pt>
                <c:pt idx="1">
                  <c:v>SIF</c:v>
                </c:pt>
                <c:pt idx="2">
                  <c:v>Exposure</c:v>
                </c:pt>
                <c:pt idx="3">
                  <c:v>Fire</c:v>
                </c:pt>
                <c:pt idx="4">
                  <c:v>Property Damage </c:v>
                </c:pt>
                <c:pt idx="5">
                  <c:v>Environmental Release</c:v>
                </c:pt>
                <c:pt idx="6">
                  <c:v>Buisness Interuption </c:v>
                </c:pt>
              </c:strCache>
            </c:strRef>
          </c:cat>
          <c:val>
            <c:numRef>
              <c:f>'Incident Data'!$Q$22:$Q$28</c:f>
              <c:numCache>
                <c:formatCode>#,##0</c:formatCode>
                <c:ptCount val="7"/>
                <c:pt idx="0" formatCode="General">
                  <c:v>8</c:v>
                </c:pt>
                <c:pt idx="1">
                  <c:v>6</c:v>
                </c:pt>
                <c:pt idx="2" formatCode="General">
                  <c:v>6</c:v>
                </c:pt>
                <c:pt idx="3" formatCode="General">
                  <c:v>6</c:v>
                </c:pt>
                <c:pt idx="4" formatCode="General">
                  <c:v>4</c:v>
                </c:pt>
                <c:pt idx="5" formatCode="General">
                  <c:v>4</c:v>
                </c:pt>
                <c:pt idx="6" formatCode="General">
                  <c:v>3</c:v>
                </c:pt>
              </c:numCache>
            </c:numRef>
          </c:val>
          <c:extLst>
            <c:ext xmlns:c16="http://schemas.microsoft.com/office/drawing/2014/chart" uri="{C3380CC4-5D6E-409C-BE32-E72D297353CC}">
              <c16:uniqueId val="{00000000-5FC3-4E46-8D46-0F6BA073B0EB}"/>
            </c:ext>
          </c:extLst>
        </c:ser>
        <c:dLbls>
          <c:showLegendKey val="0"/>
          <c:showVal val="0"/>
          <c:showCatName val="0"/>
          <c:showSerName val="0"/>
          <c:showPercent val="0"/>
          <c:showBubbleSize val="0"/>
        </c:dLbls>
        <c:gapWidth val="182"/>
        <c:axId val="1247127216"/>
        <c:axId val="1247123256"/>
      </c:barChart>
      <c:catAx>
        <c:axId val="1247127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123256"/>
        <c:crosses val="autoZero"/>
        <c:auto val="1"/>
        <c:lblAlgn val="ctr"/>
        <c:lblOffset val="100"/>
        <c:noMultiLvlLbl val="0"/>
      </c:catAx>
      <c:valAx>
        <c:axId val="12471232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1272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Near</a:t>
            </a:r>
            <a:r>
              <a:rPr lang="en-US" b="1" baseline="0"/>
              <a:t> Miss Factors YTD </a:t>
            </a:r>
            <a:r>
              <a:rPr lang="en-US" b="1"/>
              <a:t>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'Incident Data'!$Q$51</c:f>
              <c:strCache>
                <c:ptCount val="1"/>
                <c:pt idx="0">
                  <c:v>Total </c:v>
                </c:pt>
              </c:strCache>
            </c:strRef>
          </c:tx>
          <c:spPr>
            <a:solidFill>
              <a:schemeClr val="accent1"/>
            </a:solidFill>
            <a:ln>
              <a:noFill/>
            </a:ln>
            <a:effectLst/>
          </c:spPr>
          <c:invertIfNegative val="0"/>
          <c:cat>
            <c:strRef>
              <c:f>'Incident Data'!$P$52:$P$62</c:f>
              <c:strCache>
                <c:ptCount val="11"/>
                <c:pt idx="0">
                  <c:v>Human Performance </c:v>
                </c:pt>
                <c:pt idx="1">
                  <c:v>Equipment / Maintenance</c:v>
                </c:pt>
                <c:pt idx="2">
                  <c:v>Design / Engineering </c:v>
                </c:pt>
                <c:pt idx="3">
                  <c:v>Housekeeping </c:v>
                </c:pt>
                <c:pt idx="4">
                  <c:v>Environmental Conditions </c:v>
                </c:pt>
                <c:pt idx="5">
                  <c:v>Management Systems </c:v>
                </c:pt>
                <c:pt idx="6">
                  <c:v>Contractor Management </c:v>
                </c:pt>
                <c:pt idx="7">
                  <c:v>Training / Competency </c:v>
                </c:pt>
                <c:pt idx="8">
                  <c:v>Work Planning </c:v>
                </c:pt>
                <c:pt idx="9">
                  <c:v>Communication </c:v>
                </c:pt>
                <c:pt idx="10">
                  <c:v>Procedures </c:v>
                </c:pt>
              </c:strCache>
            </c:strRef>
          </c:cat>
          <c:val>
            <c:numRef>
              <c:f>'Incident Data'!$Q$52:$Q$62</c:f>
              <c:numCache>
                <c:formatCode>General</c:formatCode>
                <c:ptCount val="11"/>
                <c:pt idx="0">
                  <c:v>13</c:v>
                </c:pt>
                <c:pt idx="1">
                  <c:v>11</c:v>
                </c:pt>
                <c:pt idx="2">
                  <c:v>7</c:v>
                </c:pt>
                <c:pt idx="3">
                  <c:v>4</c:v>
                </c:pt>
                <c:pt idx="4">
                  <c:v>4</c:v>
                </c:pt>
                <c:pt idx="5">
                  <c:v>3</c:v>
                </c:pt>
                <c:pt idx="6">
                  <c:v>3</c:v>
                </c:pt>
                <c:pt idx="7">
                  <c:v>2</c:v>
                </c:pt>
                <c:pt idx="8">
                  <c:v>2</c:v>
                </c:pt>
                <c:pt idx="9">
                  <c:v>1</c:v>
                </c:pt>
                <c:pt idx="10">
                  <c:v>1</c:v>
                </c:pt>
              </c:numCache>
            </c:numRef>
          </c:val>
          <c:extLst>
            <c:ext xmlns:c16="http://schemas.microsoft.com/office/drawing/2014/chart" uri="{C3380CC4-5D6E-409C-BE32-E72D297353CC}">
              <c16:uniqueId val="{00000000-B677-43B2-AA74-BDD56B15F842}"/>
            </c:ext>
          </c:extLst>
        </c:ser>
        <c:dLbls>
          <c:showLegendKey val="0"/>
          <c:showVal val="0"/>
          <c:showCatName val="0"/>
          <c:showSerName val="0"/>
          <c:showPercent val="0"/>
          <c:showBubbleSize val="0"/>
        </c:dLbls>
        <c:gapWidth val="182"/>
        <c:axId val="832731576"/>
        <c:axId val="1248502376"/>
      </c:barChart>
      <c:catAx>
        <c:axId val="832731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502376"/>
        <c:crosses val="autoZero"/>
        <c:auto val="1"/>
        <c:lblAlgn val="ctr"/>
        <c:lblOffset val="100"/>
        <c:noMultiLvlLbl val="0"/>
      </c:catAx>
      <c:valAx>
        <c:axId val="12485023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7315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1963048498845268E-2"/>
          <c:y val="8.3333521713871067E-2"/>
          <c:w val="0.91570438799076215"/>
          <c:h val="0.79166845628177507"/>
        </c:manualLayout>
      </c:layout>
      <c:barChart>
        <c:barDir val="col"/>
        <c:grouping val="clustered"/>
        <c:varyColors val="0"/>
        <c:ser>
          <c:idx val="0"/>
          <c:order val="0"/>
          <c:spPr>
            <a:solidFill>
              <a:srgbClr val="9999FF"/>
            </a:solidFill>
            <a:ln w="12700">
              <a:solidFill>
                <a:srgbClr val="000000"/>
              </a:solidFill>
              <a:prstDash val="solid"/>
            </a:ln>
          </c:spPr>
          <c:invertIfNegative val="0"/>
          <c:dLbls>
            <c:spPr>
              <a:noFill/>
              <a:ln w="25400">
                <a:noFill/>
              </a:ln>
            </c:spPr>
            <c:txPr>
              <a:bodyPr rot="-5400000" vert="horz" wrap="square" lIns="38100" tIns="19050" rIns="38100" bIns="19050" anchor="ctr">
                <a:spAutoFit/>
              </a:bodyPr>
              <a:lstStyle/>
              <a:p>
                <a:pPr algn="ctr">
                  <a:defRPr sz="1525" b="0" i="0" u="none" strike="noStrike" baseline="0">
                    <a:solidFill>
                      <a:srgbClr val="000000"/>
                    </a:solidFill>
                    <a:latin typeface="Arial"/>
                    <a:ea typeface="Arial"/>
                    <a:cs typeface="Arial"/>
                  </a:defRPr>
                </a:pPr>
                <a:endParaRPr lang="en-US"/>
              </a:p>
            </c:txPr>
            <c:dLblPos val="ctr"/>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cat>
            <c:strRef>
              <c:extLst>
                <c:ext xmlns:c15="http://schemas.microsoft.com/office/drawing/2012/chart" uri="{02D57815-91ED-43cb-92C2-25804820EDAC}">
                  <c15:fullRef>
                    <c15:sqref>Behavior!$A$4:$A$27</c15:sqref>
                  </c15:fullRef>
                </c:ext>
              </c:extLst>
              <c:f>Behavior!$A$4:$A$11</c:f>
              <c:strCache>
                <c:ptCount val="8"/>
                <c:pt idx="0">
                  <c:v>Pre &amp; Post Job Inspection</c:v>
                </c:pt>
                <c:pt idx="1">
                  <c:v>Communications Of Hazards</c:v>
                </c:pt>
                <c:pt idx="2">
                  <c:v>Eyes On Path</c:v>
                </c:pt>
                <c:pt idx="3">
                  <c:v>Knowledge of Task</c:v>
                </c:pt>
                <c:pt idx="4">
                  <c:v>Line Of Fire</c:v>
                </c:pt>
                <c:pt idx="5">
                  <c:v>Pinch Points</c:v>
                </c:pt>
                <c:pt idx="6">
                  <c:v>Energy Isolation</c:v>
                </c:pt>
                <c:pt idx="7">
                  <c:v>Get Assistance</c:v>
                </c:pt>
              </c:strCache>
            </c:strRef>
          </c:cat>
          <c:val>
            <c:numRef>
              <c:extLst>
                <c:ext xmlns:c15="http://schemas.microsoft.com/office/drawing/2012/chart" uri="{02D57815-91ED-43cb-92C2-25804820EDAC}">
                  <c15:fullRef>
                    <c15:sqref>Behavior!$B$4:$B$27</c15:sqref>
                  </c15:fullRef>
                </c:ext>
              </c:extLst>
              <c:f>Behavior!$B$4:$B$11</c:f>
              <c:numCache>
                <c:formatCode>General</c:formatCode>
                <c:ptCount val="8"/>
                <c:pt idx="0">
                  <c:v>9</c:v>
                </c:pt>
                <c:pt idx="1">
                  <c:v>4</c:v>
                </c:pt>
                <c:pt idx="2">
                  <c:v>12</c:v>
                </c:pt>
                <c:pt idx="3">
                  <c:v>4</c:v>
                </c:pt>
                <c:pt idx="4">
                  <c:v>2</c:v>
                </c:pt>
                <c:pt idx="5">
                  <c:v>3</c:v>
                </c:pt>
                <c:pt idx="6">
                  <c:v>4</c:v>
                </c:pt>
                <c:pt idx="7">
                  <c:v>3</c:v>
                </c:pt>
              </c:numCache>
            </c:numRef>
          </c:val>
          <c:extLst>
            <c:ext xmlns:c16="http://schemas.microsoft.com/office/drawing/2014/chart" uri="{C3380CC4-5D6E-409C-BE32-E72D297353CC}">
              <c16:uniqueId val="{00000000-22B0-4FCF-8691-17557775D725}"/>
            </c:ext>
          </c:extLst>
        </c:ser>
        <c:dLbls>
          <c:showLegendKey val="0"/>
          <c:showVal val="0"/>
          <c:showCatName val="0"/>
          <c:showSerName val="0"/>
          <c:showPercent val="0"/>
          <c:showBubbleSize val="0"/>
        </c:dLbls>
        <c:gapWidth val="150"/>
        <c:axId val="666107695"/>
        <c:axId val="1"/>
      </c:barChart>
      <c:catAx>
        <c:axId val="666107695"/>
        <c:scaling>
          <c:orientation val="minMax"/>
        </c:scaling>
        <c:delete val="1"/>
        <c:axPos val="b"/>
        <c:numFmt formatCode="General" sourceLinked="1"/>
        <c:majorTickMark val="out"/>
        <c:minorTickMark val="none"/>
        <c:tickLblPos val="nextTo"/>
        <c:crossAx val="1"/>
        <c:crosses val="autoZero"/>
        <c:auto val="1"/>
        <c:lblAlgn val="ctr"/>
        <c:lblOffset val="100"/>
        <c:noMultiLvlLbl val="0"/>
      </c:catAx>
      <c:valAx>
        <c:axId val="1"/>
        <c:scaling>
          <c:orientation val="minMax"/>
        </c:scaling>
        <c:delete val="0"/>
        <c:axPos val="l"/>
        <c:numFmt formatCode="General" sourceLinked="1"/>
        <c:majorTickMark val="out"/>
        <c:minorTickMark val="none"/>
        <c:tickLblPos val="nextTo"/>
        <c:spPr>
          <a:ln w="3175">
            <a:solidFill>
              <a:srgbClr val="000000"/>
            </a:solidFill>
            <a:prstDash val="solid"/>
          </a:ln>
        </c:spPr>
        <c:txPr>
          <a:bodyPr rot="0" vert="horz"/>
          <a:lstStyle/>
          <a:p>
            <a:pPr>
              <a:defRPr sz="1525" b="0" i="0" u="none" strike="noStrike" baseline="0">
                <a:solidFill>
                  <a:srgbClr val="000000"/>
                </a:solidFill>
                <a:latin typeface="Arial"/>
                <a:ea typeface="Arial"/>
                <a:cs typeface="Arial"/>
              </a:defRPr>
            </a:pPr>
            <a:endParaRPr lang="en-US"/>
          </a:p>
        </c:txPr>
        <c:crossAx val="666107695"/>
        <c:crosses val="autoZero"/>
        <c:crossBetween val="between"/>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2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horizontalDpi="300" verticalDpi="300" copies="0"/>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1963048498845268E-2"/>
          <c:y val="8.3333521713871067E-2"/>
          <c:w val="0.91570438799076215"/>
          <c:h val="0.79166845628177507"/>
        </c:manualLayout>
      </c:layout>
      <c:barChart>
        <c:barDir val="col"/>
        <c:grouping val="clustered"/>
        <c:varyColors val="0"/>
        <c:ser>
          <c:idx val="0"/>
          <c:order val="0"/>
          <c:spPr>
            <a:solidFill>
              <a:srgbClr val="9999FF"/>
            </a:solidFill>
            <a:ln w="12700">
              <a:solidFill>
                <a:srgbClr val="000000"/>
              </a:solidFill>
              <a:prstDash val="solid"/>
            </a:ln>
          </c:spPr>
          <c:invertIfNegative val="0"/>
          <c:dLbls>
            <c:dLbl>
              <c:idx val="15"/>
              <c:layout>
                <c:manualLayout>
                  <c:x val="0"/>
                  <c:y val="7.0245810619826363E-2"/>
                </c:manualLayout>
              </c:layout>
              <c:spPr/>
              <c:txPr>
                <a:bodyPr rot="-5400000" vert="horz"/>
                <a:lstStyle/>
                <a:p>
                  <a:pPr algn="ctr">
                    <a:defRPr sz="1525" b="0" i="0" u="none" strike="noStrike" baseline="0">
                      <a:solidFill>
                        <a:srgbClr val="000000"/>
                      </a:solidFill>
                      <a:latin typeface="Arial"/>
                      <a:ea typeface="Arial"/>
                      <a:cs typeface="Arial"/>
                    </a:defRPr>
                  </a:pPr>
                  <a:endParaRPr lang="en-US"/>
                </a:p>
              </c:txPr>
              <c:dLblPos val="outEnd"/>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62A-40A0-B04A-68CC898653E0}"/>
                </c:ext>
              </c:extLst>
            </c:dLbl>
            <c:spPr>
              <a:noFill/>
              <a:ln w="25400">
                <a:noFill/>
              </a:ln>
            </c:spPr>
            <c:txPr>
              <a:bodyPr rot="-5400000" vert="horz" wrap="square" lIns="38100" tIns="19050" rIns="38100" bIns="19050" anchor="ctr">
                <a:spAutoFit/>
              </a:bodyPr>
              <a:lstStyle/>
              <a:p>
                <a:pPr algn="ctr">
                  <a:defRPr sz="1525" b="0" i="0" u="none" strike="noStrike" baseline="0">
                    <a:solidFill>
                      <a:srgbClr val="000000"/>
                    </a:solidFill>
                    <a:latin typeface="Arial"/>
                    <a:ea typeface="Arial"/>
                    <a:cs typeface="Arial"/>
                  </a:defRPr>
                </a:pPr>
                <a:endParaRPr lang="en-US"/>
              </a:p>
            </c:txPr>
            <c:dLblPos val="inEnd"/>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cat>
            <c:strRef>
              <c:f>Behavior!$A$4:$A$27</c:f>
              <c:strCache>
                <c:ptCount val="24"/>
                <c:pt idx="0">
                  <c:v>Pre &amp; Post Job Inspection</c:v>
                </c:pt>
                <c:pt idx="1">
                  <c:v>Communications Of Hazards</c:v>
                </c:pt>
                <c:pt idx="2">
                  <c:v>Eyes On Path</c:v>
                </c:pt>
                <c:pt idx="3">
                  <c:v>Knowledge of Task</c:v>
                </c:pt>
                <c:pt idx="4">
                  <c:v>Line Of Fire</c:v>
                </c:pt>
                <c:pt idx="5">
                  <c:v>Pinch Points</c:v>
                </c:pt>
                <c:pt idx="6">
                  <c:v>Energy Isolation</c:v>
                </c:pt>
                <c:pt idx="7">
                  <c:v>Get Assistance</c:v>
                </c:pt>
                <c:pt idx="8">
                  <c:v>Housekeeping</c:v>
                </c:pt>
                <c:pt idx="9">
                  <c:v>Walking &amp; Working Surfaces</c:v>
                </c:pt>
                <c:pt idx="10">
                  <c:v>PPE Eye</c:v>
                </c:pt>
                <c:pt idx="11">
                  <c:v>PPE Hands</c:v>
                </c:pt>
                <c:pt idx="12">
                  <c:v>Eyes On Task</c:v>
                </c:pt>
                <c:pt idx="13">
                  <c:v>Hot work</c:v>
                </c:pt>
                <c:pt idx="14">
                  <c:v>Tool Equipment Selection</c:v>
                </c:pt>
                <c:pt idx="15">
                  <c:v>Ascending / Descending</c:v>
                </c:pt>
                <c:pt idx="16">
                  <c:v>PPE Respiritory</c:v>
                </c:pt>
                <c:pt idx="17">
                  <c:v>Tool Use</c:v>
                </c:pt>
                <c:pt idx="18">
                  <c:v>Lifting &amp; Lowering</c:v>
                </c:pt>
                <c:pt idx="19">
                  <c:v>Twisting</c:v>
                </c:pt>
                <c:pt idx="20">
                  <c:v>Pushing &amp; Pulling </c:v>
                </c:pt>
                <c:pt idx="21">
                  <c:v>PPE Body</c:v>
                </c:pt>
                <c:pt idx="22">
                  <c:v>Temp Extreme</c:v>
                </c:pt>
                <c:pt idx="23">
                  <c:v>Confined Space</c:v>
                </c:pt>
              </c:strCache>
            </c:strRef>
          </c:cat>
          <c:val>
            <c:numRef>
              <c:f>Behavior!$C$4:$C$25</c:f>
              <c:numCache>
                <c:formatCode>0%</c:formatCode>
                <c:ptCount val="22"/>
                <c:pt idx="0">
                  <c:v>0.21951219512195122</c:v>
                </c:pt>
                <c:pt idx="1">
                  <c:v>9.7560975609756101E-2</c:v>
                </c:pt>
                <c:pt idx="2">
                  <c:v>0.29268292682926828</c:v>
                </c:pt>
                <c:pt idx="3">
                  <c:v>9.7560975609756101E-2</c:v>
                </c:pt>
                <c:pt idx="4">
                  <c:v>4.878048780487805E-2</c:v>
                </c:pt>
                <c:pt idx="5">
                  <c:v>7.3170731707317069E-2</c:v>
                </c:pt>
                <c:pt idx="6">
                  <c:v>9.7560975609756101E-2</c:v>
                </c:pt>
                <c:pt idx="7">
                  <c:v>7.3170731707317069E-2</c:v>
                </c:pt>
                <c:pt idx="8">
                  <c:v>0</c:v>
                </c:pt>
                <c:pt idx="9">
                  <c:v>0</c:v>
                </c:pt>
                <c:pt idx="10">
                  <c:v>2.4390243902439025E-2</c:v>
                </c:pt>
                <c:pt idx="11">
                  <c:v>4.878048780487805E-2</c:v>
                </c:pt>
                <c:pt idx="12">
                  <c:v>0</c:v>
                </c:pt>
                <c:pt idx="13">
                  <c:v>0</c:v>
                </c:pt>
                <c:pt idx="14">
                  <c:v>0</c:v>
                </c:pt>
                <c:pt idx="15">
                  <c:v>0</c:v>
                </c:pt>
                <c:pt idx="16">
                  <c:v>0</c:v>
                </c:pt>
                <c:pt idx="17">
                  <c:v>0</c:v>
                </c:pt>
                <c:pt idx="18">
                  <c:v>0</c:v>
                </c:pt>
                <c:pt idx="19">
                  <c:v>0</c:v>
                </c:pt>
                <c:pt idx="20">
                  <c:v>0</c:v>
                </c:pt>
                <c:pt idx="21">
                  <c:v>0</c:v>
                </c:pt>
              </c:numCache>
            </c:numRef>
          </c:val>
          <c:extLst>
            <c:ext xmlns:c16="http://schemas.microsoft.com/office/drawing/2014/chart" uri="{C3380CC4-5D6E-409C-BE32-E72D297353CC}">
              <c16:uniqueId val="{00000001-F686-4199-8621-B9A806274FB3}"/>
            </c:ext>
          </c:extLst>
        </c:ser>
        <c:dLbls>
          <c:showLegendKey val="0"/>
          <c:showVal val="0"/>
          <c:showCatName val="0"/>
          <c:showSerName val="0"/>
          <c:showPercent val="0"/>
          <c:showBubbleSize val="0"/>
        </c:dLbls>
        <c:gapWidth val="150"/>
        <c:axId val="540101791"/>
        <c:axId val="1"/>
      </c:barChart>
      <c:catAx>
        <c:axId val="540101791"/>
        <c:scaling>
          <c:orientation val="minMax"/>
        </c:scaling>
        <c:delete val="1"/>
        <c:axPos val="b"/>
        <c:numFmt formatCode="General" sourceLinked="1"/>
        <c:majorTickMark val="out"/>
        <c:minorTickMark val="none"/>
        <c:tickLblPos val="nextTo"/>
        <c:crossAx val="1"/>
        <c:crosses val="autoZero"/>
        <c:auto val="1"/>
        <c:lblAlgn val="ctr"/>
        <c:lblOffset val="100"/>
        <c:noMultiLvlLbl val="0"/>
      </c:catAx>
      <c:valAx>
        <c:axId val="1"/>
        <c:scaling>
          <c:orientation val="minMax"/>
        </c:scaling>
        <c:delete val="0"/>
        <c:axPos val="l"/>
        <c:majorGridlines>
          <c:spPr>
            <a:ln w="3175">
              <a:solidFill>
                <a:srgbClr val="000000"/>
              </a:solidFill>
              <a:prstDash val="solid"/>
            </a:ln>
          </c:spPr>
        </c:majorGridlines>
        <c:numFmt formatCode="0%" sourceLinked="1"/>
        <c:majorTickMark val="out"/>
        <c:minorTickMark val="none"/>
        <c:tickLblPos val="nextTo"/>
        <c:spPr>
          <a:ln w="3175">
            <a:solidFill>
              <a:srgbClr val="000000"/>
            </a:solidFill>
            <a:prstDash val="solid"/>
          </a:ln>
        </c:spPr>
        <c:txPr>
          <a:bodyPr rot="0" vert="horz"/>
          <a:lstStyle/>
          <a:p>
            <a:pPr>
              <a:defRPr sz="1525" b="0" i="0" u="none" strike="noStrike" baseline="0">
                <a:solidFill>
                  <a:srgbClr val="000000"/>
                </a:solidFill>
                <a:latin typeface="Arial"/>
                <a:ea typeface="Arial"/>
                <a:cs typeface="Arial"/>
              </a:defRPr>
            </a:pPr>
            <a:endParaRPr lang="en-US"/>
          </a:p>
        </c:txPr>
        <c:crossAx val="540101791"/>
        <c:crosses val="autoZero"/>
        <c:crossBetween val="between"/>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2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horizontalDpi="300" verticalDpi="300" copies="0"/>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a:pPr>
            <a:r>
              <a:rPr lang="en-US"/>
              <a:t>Contacts Vs.</a:t>
            </a:r>
            <a:r>
              <a:rPr lang="en-US" baseline="0"/>
              <a:t> Work Stops</a:t>
            </a:r>
            <a:endParaRPr lang="en-US"/>
          </a:p>
        </c:rich>
      </c:tx>
      <c:overlay val="0"/>
    </c:title>
    <c:autoTitleDeleted val="0"/>
    <c:plotArea>
      <c:layout/>
      <c:barChart>
        <c:barDir val="col"/>
        <c:grouping val="clustered"/>
        <c:varyColors val="0"/>
        <c:ser>
          <c:idx val="0"/>
          <c:order val="0"/>
          <c:tx>
            <c:strRef>
              <c:f>'SSO-Site -25 '!$B$28</c:f>
              <c:strCache>
                <c:ptCount val="1"/>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Ref>
              <c:f>'SSO-Site -25 '!$F$28:$Q$28</c:f>
              <c:numCache>
                <c:formatCode>General</c:formatCode>
                <c:ptCount val="12"/>
              </c:numCache>
            </c:numRef>
          </c:val>
          <c:extLst>
            <c:ext xmlns:c16="http://schemas.microsoft.com/office/drawing/2014/chart" uri="{C3380CC4-5D6E-409C-BE32-E72D297353CC}">
              <c16:uniqueId val="{00000004-0326-48F7-ACA6-56995B60569E}"/>
            </c:ext>
          </c:extLst>
        </c:ser>
        <c:ser>
          <c:idx val="1"/>
          <c:order val="1"/>
          <c:tx>
            <c:strRef>
              <c:f>'SSO-Site -25 '!$B$6</c:f>
              <c:strCache>
                <c:ptCount val="1"/>
                <c:pt idx="0">
                  <c:v>Chemical</c:v>
                </c:pt>
              </c:strCache>
            </c:strRef>
          </c:tx>
          <c:invertIfNegative val="0"/>
          <c:dLbls>
            <c:dLbl>
              <c:idx val="0"/>
              <c:spPr>
                <a:noFill/>
                <a:ln>
                  <a:noFill/>
                </a:ln>
                <a:effectLst/>
              </c:spPr>
              <c:txPr>
                <a:bodyPr/>
                <a:lstStyle/>
                <a:p>
                  <a:pPr>
                    <a:defRPr>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326-48F7-ACA6-56995B60569E}"/>
                </c:ext>
              </c:extLst>
            </c:dLbl>
            <c:spPr>
              <a:noFill/>
              <a:ln>
                <a:noFill/>
              </a:ln>
              <a:effectLst/>
            </c:spPr>
            <c:txPr>
              <a:bodyPr/>
              <a:lstStyle/>
              <a:p>
                <a:pPr>
                  <a:defRPr>
                    <a:solidFill>
                      <a:sysClr val="windowText" lastClr="000000"/>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'SSC-Site -21'!$F$4:$Q$4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'SSO-Site -25 '!$F$6:$Q$6</c:f>
              <c:numCache>
                <c:formatCode>General</c:formatCode>
                <c:ptCount val="12"/>
              </c:numCache>
            </c:numRef>
          </c:val>
          <c:extLst>
            <c:ext xmlns:c16="http://schemas.microsoft.com/office/drawing/2014/chart" uri="{C3380CC4-5D6E-409C-BE32-E72D297353CC}">
              <c16:uniqueId val="{00000008-0326-48F7-ACA6-56995B60569E}"/>
            </c:ext>
          </c:extLst>
        </c:ser>
        <c:dLbls>
          <c:showLegendKey val="0"/>
          <c:showVal val="0"/>
          <c:showCatName val="0"/>
          <c:showSerName val="0"/>
          <c:showPercent val="0"/>
          <c:showBubbleSize val="0"/>
        </c:dLbls>
        <c:gapWidth val="150"/>
        <c:axId val="199609728"/>
        <c:axId val="199627904"/>
      </c:barChart>
      <c:catAx>
        <c:axId val="199609728"/>
        <c:scaling>
          <c:orientation val="minMax"/>
        </c:scaling>
        <c:delete val="0"/>
        <c:axPos val="b"/>
        <c:numFmt formatCode="General" sourceLinked="0"/>
        <c:majorTickMark val="out"/>
        <c:minorTickMark val="none"/>
        <c:tickLblPos val="nextTo"/>
        <c:crossAx val="199627904"/>
        <c:crosses val="autoZero"/>
        <c:auto val="1"/>
        <c:lblAlgn val="ctr"/>
        <c:lblOffset val="100"/>
        <c:noMultiLvlLbl val="0"/>
      </c:catAx>
      <c:valAx>
        <c:axId val="199627904"/>
        <c:scaling>
          <c:orientation val="minMax"/>
        </c:scaling>
        <c:delete val="0"/>
        <c:axPos val="l"/>
        <c:majorGridlines>
          <c:spPr>
            <a:ln>
              <a:noFill/>
            </a:ln>
          </c:spPr>
        </c:majorGridlines>
        <c:numFmt formatCode="General" sourceLinked="1"/>
        <c:majorTickMark val="out"/>
        <c:minorTickMark val="none"/>
        <c:tickLblPos val="nextTo"/>
        <c:crossAx val="199609728"/>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a:pPr>
            <a:r>
              <a:rPr lang="en-US"/>
              <a:t>Safe Vs. At-Risk Behavior</a:t>
            </a:r>
          </a:p>
        </c:rich>
      </c:tx>
      <c:overlay val="0"/>
    </c:title>
    <c:autoTitleDeleted val="0"/>
    <c:plotArea>
      <c:layout/>
      <c:barChart>
        <c:barDir val="col"/>
        <c:grouping val="clustered"/>
        <c:varyColors val="0"/>
        <c:ser>
          <c:idx val="0"/>
          <c:order val="0"/>
          <c:tx>
            <c:strRef>
              <c:f>'SSO-Site -25 '!$B$8</c:f>
              <c:strCache>
                <c:ptCount val="1"/>
                <c:pt idx="0">
                  <c:v>Electrical</c:v>
                </c:pt>
              </c:strCache>
            </c:strRef>
          </c:tx>
          <c:invertIfNegative val="0"/>
          <c:dLbls>
            <c:spPr>
              <a:noFill/>
              <a:ln>
                <a:noFill/>
              </a:ln>
              <a:effectLst/>
            </c:spPr>
            <c:txPr>
              <a:bodyPr/>
              <a:lstStyle/>
              <a:p>
                <a:pPr>
                  <a:defRPr>
                    <a:solidFill>
                      <a:schemeClr val="bg1"/>
                    </a:solidFil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Ref>
              <c:f>'SSO-Site -25 '!$F$8:$Q$8</c:f>
              <c:numCache>
                <c:formatCode>General</c:formatCode>
                <c:ptCount val="12"/>
              </c:numCache>
            </c:numRef>
          </c:val>
          <c:extLst>
            <c:ext xmlns:c16="http://schemas.microsoft.com/office/drawing/2014/chart" uri="{C3380CC4-5D6E-409C-BE32-E72D297353CC}">
              <c16:uniqueId val="{00000004-1882-403A-AF6E-64EEC62E6B3C}"/>
            </c:ext>
          </c:extLst>
        </c:ser>
        <c:ser>
          <c:idx val="1"/>
          <c:order val="1"/>
          <c:tx>
            <c:strRef>
              <c:f>'SSO-Site -25 '!$B$9</c:f>
              <c:strCache>
                <c:ptCount val="1"/>
                <c:pt idx="0">
                  <c:v>Ergonomics</c:v>
                </c:pt>
              </c:strCache>
            </c:strRef>
          </c:tx>
          <c:invertIfNegative val="0"/>
          <c:dLbls>
            <c:spPr>
              <a:noFill/>
              <a:ln>
                <a:noFill/>
              </a:ln>
              <a:effectLst/>
            </c:spPr>
            <c:txPr>
              <a:bodyPr/>
              <a:lstStyle/>
              <a:p>
                <a:pPr>
                  <a:defRPr>
                    <a:solidFill>
                      <a:schemeClr val="bg1"/>
                    </a:solidFil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Ref>
              <c:f>'SSO-Site -25 '!$F$9:$Q$9</c:f>
              <c:numCache>
                <c:formatCode>General</c:formatCode>
                <c:ptCount val="12"/>
              </c:numCache>
            </c:numRef>
          </c:val>
          <c:extLst>
            <c:ext xmlns:c16="http://schemas.microsoft.com/office/drawing/2014/chart" uri="{C3380CC4-5D6E-409C-BE32-E72D297353CC}">
              <c16:uniqueId val="{00000009-1882-403A-AF6E-64EEC62E6B3C}"/>
            </c:ext>
          </c:extLst>
        </c:ser>
        <c:dLbls>
          <c:showLegendKey val="0"/>
          <c:showVal val="0"/>
          <c:showCatName val="0"/>
          <c:showSerName val="0"/>
          <c:showPercent val="0"/>
          <c:showBubbleSize val="0"/>
        </c:dLbls>
        <c:gapWidth val="150"/>
        <c:axId val="199704576"/>
        <c:axId val="199706112"/>
      </c:barChart>
      <c:catAx>
        <c:axId val="199704576"/>
        <c:scaling>
          <c:orientation val="minMax"/>
        </c:scaling>
        <c:delete val="0"/>
        <c:axPos val="b"/>
        <c:numFmt formatCode="General" sourceLinked="0"/>
        <c:majorTickMark val="out"/>
        <c:minorTickMark val="none"/>
        <c:tickLblPos val="nextTo"/>
        <c:crossAx val="199706112"/>
        <c:crosses val="autoZero"/>
        <c:auto val="1"/>
        <c:lblAlgn val="ctr"/>
        <c:lblOffset val="100"/>
        <c:noMultiLvlLbl val="0"/>
      </c:catAx>
      <c:valAx>
        <c:axId val="199706112"/>
        <c:scaling>
          <c:orientation val="minMax"/>
        </c:scaling>
        <c:delete val="0"/>
        <c:axPos val="l"/>
        <c:majorGridlines>
          <c:spPr>
            <a:ln>
              <a:noFill/>
            </a:ln>
          </c:spPr>
        </c:majorGridlines>
        <c:numFmt formatCode="General" sourceLinked="1"/>
        <c:majorTickMark val="out"/>
        <c:minorTickMark val="none"/>
        <c:tickLblPos val="nextTo"/>
        <c:crossAx val="199704576"/>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baseline="0"/>
              <a:t> Safety Contacts</a:t>
            </a:r>
            <a:endParaRPr lang="en-US"/>
          </a:p>
        </c:rich>
      </c:tx>
      <c:overlay val="0"/>
    </c:title>
    <c:autoTitleDeleted val="0"/>
    <c:plotArea>
      <c:layout/>
      <c:barChart>
        <c:barDir val="col"/>
        <c:grouping val="clustered"/>
        <c:varyColors val="0"/>
        <c:ser>
          <c:idx val="0"/>
          <c:order val="0"/>
          <c:tx>
            <c:v>Actual Contacts</c:v>
          </c:tx>
          <c:invertIfNegative val="0"/>
          <c:dLbls>
            <c:dLbl>
              <c:idx val="0"/>
              <c:spPr/>
              <c:txPr>
                <a:bodyPr/>
                <a:lstStyle/>
                <a:p>
                  <a:pPr>
                    <a:defRPr b="1">
                      <a:solidFill>
                        <a:schemeClr val="bg1"/>
                      </a:solidFill>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0-50D8-4E60-B4F5-A57572766127}"/>
                </c:ext>
              </c:extLst>
            </c:dLbl>
            <c:spPr>
              <a:noFill/>
              <a:ln>
                <a:noFill/>
              </a:ln>
              <a:effectLst/>
            </c:spPr>
            <c:txPr>
              <a:bodyPr/>
              <a:lstStyle/>
              <a:p>
                <a:pPr>
                  <a:defRPr b="1">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Ref>
              <c:f>'SSO-Site -25 '!$V$37:$AG$37</c:f>
              <c:numCache>
                <c:formatCode>General</c:formatCode>
                <c:ptCount val="12"/>
                <c:pt idx="1">
                  <c:v>0</c:v>
                </c:pt>
                <c:pt idx="2">
                  <c:v>11</c:v>
                </c:pt>
                <c:pt idx="3">
                  <c:v>17</c:v>
                </c:pt>
                <c:pt idx="4">
                  <c:v>10</c:v>
                </c:pt>
                <c:pt idx="5">
                  <c:v>18</c:v>
                </c:pt>
                <c:pt idx="6">
                  <c:v>13</c:v>
                </c:pt>
                <c:pt idx="7">
                  <c:v>0</c:v>
                </c:pt>
                <c:pt idx="8">
                  <c:v>0</c:v>
                </c:pt>
                <c:pt idx="9">
                  <c:v>0</c:v>
                </c:pt>
                <c:pt idx="10">
                  <c:v>0</c:v>
                </c:pt>
                <c:pt idx="11">
                  <c:v>0</c:v>
                </c:pt>
              </c:numCache>
            </c:numRef>
          </c:val>
          <c:extLst>
            <c:ext xmlns:c16="http://schemas.microsoft.com/office/drawing/2014/chart" uri="{C3380CC4-5D6E-409C-BE32-E72D297353CC}">
              <c16:uniqueId val="{00000004-50D8-4E60-B4F5-A57572766127}"/>
            </c:ext>
          </c:extLst>
        </c:ser>
        <c:dLbls>
          <c:showLegendKey val="0"/>
          <c:showVal val="0"/>
          <c:showCatName val="0"/>
          <c:showSerName val="0"/>
          <c:showPercent val="0"/>
          <c:showBubbleSize val="0"/>
        </c:dLbls>
        <c:gapWidth val="143"/>
        <c:axId val="199734016"/>
        <c:axId val="199735552"/>
      </c:barChart>
      <c:lineChart>
        <c:grouping val="standard"/>
        <c:varyColors val="0"/>
        <c:ser>
          <c:idx val="1"/>
          <c:order val="1"/>
          <c:tx>
            <c:v>Target</c:v>
          </c:tx>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Ref>
              <c:f>'SSO-Site -25 '!$V$36:$AG$36</c:f>
              <c:numCache>
                <c:formatCode>General</c:formatCode>
                <c:ptCount val="12"/>
              </c:numCache>
            </c:numRef>
          </c:val>
          <c:smooth val="0"/>
          <c:extLst>
            <c:ext xmlns:c16="http://schemas.microsoft.com/office/drawing/2014/chart" uri="{C3380CC4-5D6E-409C-BE32-E72D297353CC}">
              <c16:uniqueId val="{00000005-50D8-4E60-B4F5-A57572766127}"/>
            </c:ext>
          </c:extLst>
        </c:ser>
        <c:dLbls>
          <c:showLegendKey val="0"/>
          <c:showVal val="0"/>
          <c:showCatName val="0"/>
          <c:showSerName val="0"/>
          <c:showPercent val="0"/>
          <c:showBubbleSize val="0"/>
        </c:dLbls>
        <c:marker val="1"/>
        <c:smooth val="0"/>
        <c:axId val="199734016"/>
        <c:axId val="199735552"/>
      </c:lineChart>
      <c:catAx>
        <c:axId val="199734016"/>
        <c:scaling>
          <c:orientation val="minMax"/>
        </c:scaling>
        <c:delete val="0"/>
        <c:axPos val="b"/>
        <c:numFmt formatCode="General" sourceLinked="0"/>
        <c:majorTickMark val="out"/>
        <c:minorTickMark val="none"/>
        <c:tickLblPos val="nextTo"/>
        <c:crossAx val="199735552"/>
        <c:crosses val="autoZero"/>
        <c:auto val="1"/>
        <c:lblAlgn val="ctr"/>
        <c:lblOffset val="100"/>
        <c:noMultiLvlLbl val="0"/>
      </c:catAx>
      <c:valAx>
        <c:axId val="199735552"/>
        <c:scaling>
          <c:orientation val="minMax"/>
        </c:scaling>
        <c:delete val="0"/>
        <c:axPos val="l"/>
        <c:majorGridlines>
          <c:spPr>
            <a:ln>
              <a:noFill/>
            </a:ln>
          </c:spPr>
        </c:majorGridlines>
        <c:numFmt formatCode="General" sourceLinked="1"/>
        <c:majorTickMark val="out"/>
        <c:minorTickMark val="none"/>
        <c:tickLblPos val="nextTo"/>
        <c:crossAx val="199734016"/>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a:pPr>
            <a:r>
              <a:rPr lang="en-US"/>
              <a:t>Observations by Category YTD</a:t>
            </a:r>
          </a:p>
        </c:rich>
      </c:tx>
      <c:overlay val="0"/>
    </c:title>
    <c:autoTitleDeleted val="0"/>
    <c:plotArea>
      <c:layout/>
      <c:barChart>
        <c:barDir val="col"/>
        <c:grouping val="clustered"/>
        <c:varyColors val="1"/>
        <c:ser>
          <c:idx val="0"/>
          <c:order val="0"/>
          <c:tx>
            <c:strRef>
              <c:f>'SSO-Site -25 '!$AN$2:$AN$26</c:f>
              <c:strCache>
                <c:ptCount val="25"/>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extLst>
                <c:ext xmlns:c15="http://schemas.microsoft.com/office/drawing/2012/chart" uri="{02D57815-91ED-43cb-92C2-25804820EDAC}">
                  <c15:fullRef>
                    <c15:sqref>'SSO-Site -25 '!$AN$2:$AN$20</c15:sqref>
                  </c15:fullRef>
                </c:ext>
              </c:extLst>
              <c:f>('SSO-Site -25 '!$AN$2:$AN$4,'SSO-Site -25 '!$AN$6:$AN$10,'SSO-Site -25 '!$AN$12:$AN$18,'SSO-Site -25 '!$AN$20)</c:f>
              <c:numCache>
                <c:formatCode>General</c:formatCode>
                <c:ptCount val="16"/>
              </c:numCache>
            </c:numRef>
          </c:cat>
          <c:val>
            <c:numRef>
              <c:extLst>
                <c:ext xmlns:c15="http://schemas.microsoft.com/office/drawing/2012/chart" uri="{02D57815-91ED-43cb-92C2-25804820EDAC}">
                  <c15:fullRef>
                    <c15:sqref>'SSO-Site -25 '!$AO$2:$AO$26</c15:sqref>
                  </c15:fullRef>
                </c:ext>
              </c:extLst>
              <c:f>('SSO-Site -25 '!$AO$2:$AO$4,'SSO-Site -25 '!$AO$6:$AO$10,'SSO-Site -25 '!$AO$12:$AO$18,'SSO-Site -25 '!$AO$20:$AO$21,'SSO-Site -25 '!$AO$23:$AO$26)</c:f>
              <c:numCache>
                <c:formatCode>General</c:formatCode>
                <c:ptCount val="21"/>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val>
          <c:extLst>
            <c:ext xmlns:c16="http://schemas.microsoft.com/office/drawing/2014/chart" uri="{C3380CC4-5D6E-409C-BE32-E72D297353CC}">
              <c16:uniqueId val="{00000000-4005-41F2-93C0-203F71605E14}"/>
            </c:ext>
          </c:extLst>
        </c:ser>
        <c:dLbls>
          <c:showLegendKey val="0"/>
          <c:showVal val="0"/>
          <c:showCatName val="0"/>
          <c:showSerName val="0"/>
          <c:showPercent val="0"/>
          <c:showBubbleSize val="0"/>
        </c:dLbls>
        <c:gapWidth val="150"/>
        <c:axId val="199756416"/>
        <c:axId val="199795072"/>
      </c:barChart>
      <c:catAx>
        <c:axId val="199756416"/>
        <c:scaling>
          <c:orientation val="minMax"/>
        </c:scaling>
        <c:delete val="0"/>
        <c:axPos val="b"/>
        <c:numFmt formatCode="General" sourceLinked="0"/>
        <c:majorTickMark val="out"/>
        <c:minorTickMark val="none"/>
        <c:tickLblPos val="nextTo"/>
        <c:txPr>
          <a:bodyPr rot="2100000" vert="horz" anchor="t" anchorCtr="0"/>
          <a:lstStyle/>
          <a:p>
            <a:pPr>
              <a:defRPr/>
            </a:pPr>
            <a:endParaRPr lang="en-US"/>
          </a:p>
        </c:txPr>
        <c:crossAx val="199795072"/>
        <c:crosses val="autoZero"/>
        <c:auto val="1"/>
        <c:lblAlgn val="ctr"/>
        <c:lblOffset val="100"/>
        <c:noMultiLvlLbl val="0"/>
      </c:catAx>
      <c:valAx>
        <c:axId val="199795072"/>
        <c:scaling>
          <c:orientation val="minMax"/>
        </c:scaling>
        <c:delete val="0"/>
        <c:axPos val="l"/>
        <c:majorGridlines>
          <c:spPr>
            <a:ln>
              <a:noFill/>
            </a:ln>
          </c:spPr>
        </c:majorGridlines>
        <c:numFmt formatCode="General" sourceLinked="1"/>
        <c:majorTickMark val="out"/>
        <c:minorTickMark val="none"/>
        <c:tickLblPos val="nextTo"/>
        <c:crossAx val="199756416"/>
        <c:crosses val="autoZero"/>
        <c:crossBetween val="between"/>
      </c:valAx>
    </c:plotArea>
    <c:plotVisOnly val="1"/>
    <c:dispBlanksAs val="gap"/>
    <c:showDLblsOverMax val="0"/>
  </c:chart>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30044656405507653"/>
          <c:y val="0"/>
        </c:manualLayout>
      </c:layout>
      <c:overlay val="0"/>
    </c:title>
    <c:autoTitleDeleted val="0"/>
    <c:plotArea>
      <c:layout/>
      <c:barChart>
        <c:barDir val="col"/>
        <c:grouping val="clustered"/>
        <c:varyColors val="0"/>
        <c:ser>
          <c:idx val="0"/>
          <c:order val="0"/>
          <c:tx>
            <c:strRef>
              <c:f>'SSO-Site -25 '!$B$31</c:f>
              <c:strCache>
                <c:ptCount val="1"/>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Ref>
              <c:f>'SSO-Site -25 '!$F$31:$Q$31</c:f>
              <c:numCache>
                <c:formatCode>General</c:formatCode>
                <c:ptCount val="12"/>
              </c:numCache>
            </c:numRef>
          </c:val>
          <c:extLst>
            <c:ext xmlns:c16="http://schemas.microsoft.com/office/drawing/2014/chart" uri="{C3380CC4-5D6E-409C-BE32-E72D297353CC}">
              <c16:uniqueId val="{00000008-EEAD-4FC5-A177-D7B38D8CBD44}"/>
            </c:ext>
          </c:extLst>
        </c:ser>
        <c:dLbls>
          <c:showLegendKey val="0"/>
          <c:showVal val="0"/>
          <c:showCatName val="0"/>
          <c:showSerName val="0"/>
          <c:showPercent val="0"/>
          <c:showBubbleSize val="0"/>
        </c:dLbls>
        <c:gapWidth val="150"/>
        <c:axId val="201151232"/>
        <c:axId val="201152768"/>
      </c:barChart>
      <c:catAx>
        <c:axId val="201151232"/>
        <c:scaling>
          <c:orientation val="minMax"/>
        </c:scaling>
        <c:delete val="0"/>
        <c:axPos val="b"/>
        <c:numFmt formatCode="General" sourceLinked="0"/>
        <c:majorTickMark val="out"/>
        <c:minorTickMark val="none"/>
        <c:tickLblPos val="nextTo"/>
        <c:crossAx val="201152768"/>
        <c:crosses val="autoZero"/>
        <c:auto val="1"/>
        <c:lblAlgn val="ctr"/>
        <c:lblOffset val="100"/>
        <c:noMultiLvlLbl val="0"/>
      </c:catAx>
      <c:valAx>
        <c:axId val="201152768"/>
        <c:scaling>
          <c:orientation val="minMax"/>
        </c:scaling>
        <c:delete val="0"/>
        <c:axPos val="l"/>
        <c:majorGridlines>
          <c:spPr>
            <a:ln>
              <a:noFill/>
            </a:ln>
          </c:spPr>
        </c:majorGridlines>
        <c:numFmt formatCode="General" sourceLinked="1"/>
        <c:majorTickMark val="out"/>
        <c:minorTickMark val="none"/>
        <c:tickLblPos val="nextTo"/>
        <c:crossAx val="201151232"/>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overlay val="0"/>
    </c:title>
    <c:autoTitleDeleted val="0"/>
    <c:plotArea>
      <c:layout/>
      <c:barChart>
        <c:barDir val="col"/>
        <c:grouping val="clustered"/>
        <c:varyColors val="0"/>
        <c:ser>
          <c:idx val="0"/>
          <c:order val="0"/>
          <c:tx>
            <c:strRef>
              <c:f>'SSO-Site -25 '!$B$28</c:f>
              <c:strCache>
                <c:ptCount val="1"/>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Ref>
              <c:f>'SSO-Site -25 '!$F$28:$Q$28</c:f>
              <c:numCache>
                <c:formatCode>General</c:formatCode>
                <c:ptCount val="12"/>
              </c:numCache>
            </c:numRef>
          </c:val>
          <c:extLst>
            <c:ext xmlns:c16="http://schemas.microsoft.com/office/drawing/2014/chart" uri="{C3380CC4-5D6E-409C-BE32-E72D297353CC}">
              <c16:uniqueId val="{00000004-78A9-44BA-AA6E-1DE437AF9131}"/>
            </c:ext>
          </c:extLst>
        </c:ser>
        <c:dLbls>
          <c:showLegendKey val="0"/>
          <c:showVal val="0"/>
          <c:showCatName val="0"/>
          <c:showSerName val="0"/>
          <c:showPercent val="0"/>
          <c:showBubbleSize val="0"/>
        </c:dLbls>
        <c:gapWidth val="150"/>
        <c:axId val="201198592"/>
        <c:axId val="201208576"/>
      </c:barChart>
      <c:catAx>
        <c:axId val="201198592"/>
        <c:scaling>
          <c:orientation val="minMax"/>
        </c:scaling>
        <c:delete val="0"/>
        <c:axPos val="b"/>
        <c:numFmt formatCode="General" sourceLinked="0"/>
        <c:majorTickMark val="out"/>
        <c:minorTickMark val="none"/>
        <c:tickLblPos val="nextTo"/>
        <c:crossAx val="201208576"/>
        <c:crosses val="autoZero"/>
        <c:auto val="1"/>
        <c:lblAlgn val="ctr"/>
        <c:lblOffset val="100"/>
        <c:noMultiLvlLbl val="0"/>
      </c:catAx>
      <c:valAx>
        <c:axId val="201208576"/>
        <c:scaling>
          <c:orientation val="minMax"/>
        </c:scaling>
        <c:delete val="0"/>
        <c:axPos val="l"/>
        <c:majorGridlines>
          <c:spPr>
            <a:ln>
              <a:noFill/>
            </a:ln>
          </c:spPr>
        </c:majorGridlines>
        <c:numFmt formatCode="General" sourceLinked="1"/>
        <c:majorTickMark val="out"/>
        <c:minorTickMark val="none"/>
        <c:tickLblPos val="nextTo"/>
        <c:crossAx val="201198592"/>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barChart>
        <c:barDir val="col"/>
        <c:grouping val="clustered"/>
        <c:varyColors val="0"/>
        <c:ser>
          <c:idx val="0"/>
          <c:order val="0"/>
          <c:tx>
            <c:v>participation</c:v>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Ref>
              <c:f>'SSO-Site -25 '!$V$38:$AG$38</c:f>
              <c:numCache>
                <c:formatCode>0%</c:formatCode>
                <c:ptCount val="12"/>
              </c:numCache>
            </c:numRef>
          </c:val>
          <c:extLst>
            <c:ext xmlns:c16="http://schemas.microsoft.com/office/drawing/2014/chart" uri="{C3380CC4-5D6E-409C-BE32-E72D297353CC}">
              <c16:uniqueId val="{00000008-DB6C-42D1-A0A6-5F6EB7577095}"/>
            </c:ext>
          </c:extLst>
        </c:ser>
        <c:dLbls>
          <c:showLegendKey val="0"/>
          <c:showVal val="0"/>
          <c:showCatName val="0"/>
          <c:showSerName val="0"/>
          <c:showPercent val="0"/>
          <c:showBubbleSize val="0"/>
        </c:dLbls>
        <c:gapWidth val="150"/>
        <c:axId val="201242112"/>
        <c:axId val="201243648"/>
      </c:barChart>
      <c:lineChart>
        <c:grouping val="standard"/>
        <c:varyColors val="0"/>
        <c:ser>
          <c:idx val="1"/>
          <c:order val="1"/>
          <c:tx>
            <c:v>Target</c:v>
          </c:tx>
          <c:marker>
            <c:symbol val="none"/>
          </c:marker>
          <c:val>
            <c:numRef>
              <c:f>'SSC-Site -21'!$V$39:$AG$39</c:f>
              <c:numCache>
                <c:formatCode>0%</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smooth val="0"/>
          <c:extLst>
            <c:ext xmlns:c16="http://schemas.microsoft.com/office/drawing/2014/chart" uri="{C3380CC4-5D6E-409C-BE32-E72D297353CC}">
              <c16:uniqueId val="{00000001-5AA2-49DA-BDCA-982B7FDA7987}"/>
            </c:ext>
          </c:extLst>
        </c:ser>
        <c:dLbls>
          <c:showLegendKey val="0"/>
          <c:showVal val="0"/>
          <c:showCatName val="0"/>
          <c:showSerName val="0"/>
          <c:showPercent val="0"/>
          <c:showBubbleSize val="0"/>
        </c:dLbls>
        <c:marker val="1"/>
        <c:smooth val="0"/>
        <c:axId val="201242112"/>
        <c:axId val="201243648"/>
      </c:lineChart>
      <c:catAx>
        <c:axId val="201242112"/>
        <c:scaling>
          <c:orientation val="minMax"/>
        </c:scaling>
        <c:delete val="0"/>
        <c:axPos val="b"/>
        <c:numFmt formatCode="General" sourceLinked="0"/>
        <c:majorTickMark val="out"/>
        <c:minorTickMark val="none"/>
        <c:tickLblPos val="nextTo"/>
        <c:crossAx val="201243648"/>
        <c:crosses val="autoZero"/>
        <c:auto val="1"/>
        <c:lblAlgn val="ctr"/>
        <c:lblOffset val="100"/>
        <c:noMultiLvlLbl val="0"/>
      </c:catAx>
      <c:valAx>
        <c:axId val="201243648"/>
        <c:scaling>
          <c:orientation val="minMax"/>
        </c:scaling>
        <c:delete val="0"/>
        <c:axPos val="l"/>
        <c:majorGridlines>
          <c:spPr>
            <a:ln>
              <a:noFill/>
            </a:ln>
          </c:spPr>
        </c:majorGridlines>
        <c:numFmt formatCode="0%" sourceLinked="1"/>
        <c:majorTickMark val="out"/>
        <c:minorTickMark val="none"/>
        <c:tickLblPos val="nextTo"/>
        <c:crossAx val="201242112"/>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a:pPr>
            <a:r>
              <a:rPr lang="en-US"/>
              <a:t>Housekeeping</a:t>
            </a:r>
          </a:p>
        </c:rich>
      </c:tx>
      <c:overlay val="0"/>
    </c:title>
    <c:autoTitleDeleted val="0"/>
    <c:plotArea>
      <c:layout/>
      <c:barChart>
        <c:barDir val="col"/>
        <c:grouping val="clustered"/>
        <c:varyColors val="0"/>
        <c:ser>
          <c:idx val="1"/>
          <c:order val="1"/>
          <c:tx>
            <c:strRef>
              <c:f>'SSO-Site -25 '!$B$21</c:f>
              <c:strCache>
                <c:ptCount val="1"/>
                <c:pt idx="0">
                  <c:v>Tools &amp; Equipment</c:v>
                </c:pt>
              </c:strCache>
            </c:strRef>
          </c:tx>
          <c:invertIfNegative val="0"/>
          <c:dLbls>
            <c:dLbl>
              <c:idx val="0"/>
              <c:layout>
                <c:manualLayout>
                  <c:x val="-2.8985507246376877E-3"/>
                  <c:y val="0.317241494159288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598-484F-9782-B27E54E5E0C7}"/>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Ref>
              <c:f>'SSO-Site -25 '!$F$21:$Q$21</c:f>
              <c:numCache>
                <c:formatCode>General</c:formatCode>
                <c:ptCount val="12"/>
              </c:numCache>
            </c:numRef>
          </c:val>
          <c:extLst>
            <c:ext xmlns:c16="http://schemas.microsoft.com/office/drawing/2014/chart" uri="{C3380CC4-5D6E-409C-BE32-E72D297353CC}">
              <c16:uniqueId val="{00000004-5688-46BC-A0DF-E5618E1460FA}"/>
            </c:ext>
          </c:extLst>
        </c:ser>
        <c:ser>
          <c:idx val="2"/>
          <c:order val="2"/>
          <c:tx>
            <c:strRef>
              <c:f>'SSO-Site -25 '!$B$21</c:f>
              <c:strCache>
                <c:ptCount val="1"/>
                <c:pt idx="0">
                  <c:v>Tools &amp; Equipment</c:v>
                </c:pt>
              </c:strCache>
            </c:strRef>
          </c:tx>
          <c:invertIfNegative val="0"/>
          <c:dLbls>
            <c:dLbl>
              <c:idx val="10"/>
              <c:layout>
                <c:manualLayout>
                  <c:x val="0"/>
                  <c:y val="9.762334966905506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A83-4828-B6C1-7E8C16EF9C55}"/>
                </c:ext>
              </c:extLst>
            </c:dLbl>
            <c:spPr>
              <a:noFill/>
              <a:ln>
                <a:noFill/>
              </a:ln>
              <a:effectLst/>
            </c:spPr>
            <c:txPr>
              <a:bodyPr/>
              <a:lstStyle/>
              <a:p>
                <a:pPr>
                  <a:defRPr b="1">
                    <a:solidFill>
                      <a:sysClr val="windowText" lastClr="000000"/>
                    </a:solidFill>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Ref>
              <c:f>'SSO-Site -25 '!$F$21:$Q$21</c:f>
              <c:numCache>
                <c:formatCode>General</c:formatCode>
                <c:ptCount val="12"/>
              </c:numCache>
            </c:numRef>
          </c:val>
          <c:extLst>
            <c:ext xmlns:c16="http://schemas.microsoft.com/office/drawing/2014/chart" uri="{C3380CC4-5D6E-409C-BE32-E72D297353CC}">
              <c16:uniqueId val="{00000009-5688-46BC-A0DF-E5618E1460FA}"/>
            </c:ext>
          </c:extLst>
        </c:ser>
        <c:dLbls>
          <c:showLegendKey val="0"/>
          <c:showVal val="0"/>
          <c:showCatName val="0"/>
          <c:showSerName val="0"/>
          <c:showPercent val="0"/>
          <c:showBubbleSize val="0"/>
        </c:dLbls>
        <c:gapWidth val="150"/>
        <c:axId val="201374720"/>
        <c:axId val="201401088"/>
      </c:barChart>
      <c:lineChart>
        <c:grouping val="standard"/>
        <c:varyColors val="0"/>
        <c:ser>
          <c:idx val="0"/>
          <c:order val="0"/>
          <c:tx>
            <c:strRef>
              <c:f>'SSO-Site -25 '!$B$19</c:f>
              <c:strCache>
                <c:ptCount val="1"/>
                <c:pt idx="0">
                  <c:v>Slip, trip, fall</c:v>
                </c:pt>
              </c:strCache>
            </c:strRef>
          </c:tx>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Ref>
              <c:f>'SSO-Site -25 '!$F$19:$Q$19</c:f>
              <c:numCache>
                <c:formatCode>General</c:formatCode>
                <c:ptCount val="12"/>
              </c:numCache>
            </c:numRef>
          </c:val>
          <c:smooth val="0"/>
          <c:extLst>
            <c:ext xmlns:c16="http://schemas.microsoft.com/office/drawing/2014/chart" uri="{C3380CC4-5D6E-409C-BE32-E72D297353CC}">
              <c16:uniqueId val="{0000000E-5688-46BC-A0DF-E5618E1460FA}"/>
            </c:ext>
          </c:extLst>
        </c:ser>
        <c:dLbls>
          <c:showLegendKey val="0"/>
          <c:showVal val="0"/>
          <c:showCatName val="0"/>
          <c:showSerName val="0"/>
          <c:showPercent val="0"/>
          <c:showBubbleSize val="0"/>
        </c:dLbls>
        <c:marker val="1"/>
        <c:smooth val="0"/>
        <c:axId val="201374720"/>
        <c:axId val="201401088"/>
      </c:lineChart>
      <c:catAx>
        <c:axId val="201374720"/>
        <c:scaling>
          <c:orientation val="minMax"/>
        </c:scaling>
        <c:delete val="0"/>
        <c:axPos val="b"/>
        <c:numFmt formatCode="General" sourceLinked="0"/>
        <c:majorTickMark val="out"/>
        <c:minorTickMark val="none"/>
        <c:tickLblPos val="nextTo"/>
        <c:crossAx val="201401088"/>
        <c:crosses val="autoZero"/>
        <c:auto val="1"/>
        <c:lblAlgn val="ctr"/>
        <c:lblOffset val="100"/>
        <c:noMultiLvlLbl val="0"/>
      </c:catAx>
      <c:valAx>
        <c:axId val="201401088"/>
        <c:scaling>
          <c:orientation val="minMax"/>
        </c:scaling>
        <c:delete val="0"/>
        <c:axPos val="l"/>
        <c:majorGridlines>
          <c:spPr>
            <a:ln>
              <a:noFill/>
            </a:ln>
          </c:spPr>
        </c:majorGridlines>
        <c:numFmt formatCode="General" sourceLinked="1"/>
        <c:majorTickMark val="out"/>
        <c:minorTickMark val="none"/>
        <c:tickLblPos val="nextTo"/>
        <c:crossAx val="201374720"/>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a:pPr>
            <a:r>
              <a:rPr lang="en-US"/>
              <a:t>PPE </a:t>
            </a:r>
            <a:r>
              <a:rPr lang="en-US" baseline="0"/>
              <a:t> Discrepancies</a:t>
            </a:r>
            <a:endParaRPr lang="en-US"/>
          </a:p>
        </c:rich>
      </c:tx>
      <c:overlay val="0"/>
    </c:title>
    <c:autoTitleDeleted val="0"/>
    <c:plotArea>
      <c:layout>
        <c:manualLayout>
          <c:layoutTarget val="inner"/>
          <c:xMode val="edge"/>
          <c:yMode val="edge"/>
          <c:x val="4.9007914944384112E-2"/>
          <c:y val="0.19480344313085335"/>
          <c:w val="0.93762054710530773"/>
          <c:h val="0.57772179289815073"/>
        </c:manualLayout>
      </c:layout>
      <c:barChart>
        <c:barDir val="col"/>
        <c:grouping val="clustered"/>
        <c:varyColors val="0"/>
        <c:ser>
          <c:idx val="0"/>
          <c:order val="0"/>
          <c:tx>
            <c:strRef>
              <c:f>'SSO-Site -25 '!$B$17</c:f>
              <c:strCache>
                <c:ptCount val="1"/>
                <c:pt idx="0">
                  <c:v>PPE</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trendline>
            <c:trendlineType val="linear"/>
            <c:dispRSqr val="0"/>
            <c:dispEq val="0"/>
          </c:trendline>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Ref>
              <c:f>'SSO-Site -25 '!$F$17:$Q$17</c:f>
              <c:numCache>
                <c:formatCode>General</c:formatCode>
                <c:ptCount val="12"/>
                <c:pt idx="1">
                  <c:v>2</c:v>
                </c:pt>
                <c:pt idx="2">
                  <c:v>1</c:v>
                </c:pt>
                <c:pt idx="3">
                  <c:v>4</c:v>
                </c:pt>
                <c:pt idx="4">
                  <c:v>5</c:v>
                </c:pt>
              </c:numCache>
            </c:numRef>
          </c:val>
          <c:extLst>
            <c:ext xmlns:c16="http://schemas.microsoft.com/office/drawing/2014/chart" uri="{C3380CC4-5D6E-409C-BE32-E72D297353CC}">
              <c16:uniqueId val="{00000009-DCEF-4630-A96D-D4B58C1DCC88}"/>
            </c:ext>
          </c:extLst>
        </c:ser>
        <c:dLbls>
          <c:showLegendKey val="0"/>
          <c:showVal val="0"/>
          <c:showCatName val="0"/>
          <c:showSerName val="0"/>
          <c:showPercent val="0"/>
          <c:showBubbleSize val="0"/>
        </c:dLbls>
        <c:gapWidth val="150"/>
        <c:axId val="201446144"/>
        <c:axId val="201447680"/>
      </c:barChart>
      <c:catAx>
        <c:axId val="201446144"/>
        <c:scaling>
          <c:orientation val="minMax"/>
        </c:scaling>
        <c:delete val="0"/>
        <c:axPos val="b"/>
        <c:numFmt formatCode="General" sourceLinked="0"/>
        <c:majorTickMark val="out"/>
        <c:minorTickMark val="none"/>
        <c:tickLblPos val="nextTo"/>
        <c:crossAx val="201447680"/>
        <c:crosses val="autoZero"/>
        <c:auto val="1"/>
        <c:lblAlgn val="ctr"/>
        <c:lblOffset val="100"/>
        <c:noMultiLvlLbl val="0"/>
      </c:catAx>
      <c:valAx>
        <c:axId val="201447680"/>
        <c:scaling>
          <c:orientation val="minMax"/>
        </c:scaling>
        <c:delete val="0"/>
        <c:axPos val="l"/>
        <c:majorGridlines>
          <c:spPr>
            <a:ln>
              <a:noFill/>
            </a:ln>
          </c:spPr>
        </c:majorGridlines>
        <c:numFmt formatCode="General" sourceLinked="1"/>
        <c:majorTickMark val="out"/>
        <c:minorTickMark val="none"/>
        <c:tickLblPos val="nextTo"/>
        <c:crossAx val="201446144"/>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a:pPr>
            <a:r>
              <a:rPr lang="en-US"/>
              <a:t>Guidance Feedback</a:t>
            </a:r>
          </a:p>
        </c:rich>
      </c:tx>
      <c:overlay val="0"/>
    </c:title>
    <c:autoTitleDeleted val="0"/>
    <c:plotArea>
      <c:layout/>
      <c:barChart>
        <c:barDir val="col"/>
        <c:grouping val="clustered"/>
        <c:varyColors val="0"/>
        <c:ser>
          <c:idx val="1"/>
          <c:order val="1"/>
          <c:tx>
            <c:strRef>
              <c:f>'SSO-Site -25 '!$B$33</c:f>
              <c:strCache>
                <c:ptCount val="1"/>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Ref>
              <c:f>'SSO-Site -25 '!$F$33:$Q$33</c:f>
              <c:numCache>
                <c:formatCode>General</c:formatCode>
                <c:ptCount val="12"/>
              </c:numCache>
            </c:numRef>
          </c:val>
          <c:extLst>
            <c:ext xmlns:c16="http://schemas.microsoft.com/office/drawing/2014/chart" uri="{C3380CC4-5D6E-409C-BE32-E72D297353CC}">
              <c16:uniqueId val="{00000004-2D0B-43C5-B5F6-C5B7F0F535F7}"/>
            </c:ext>
          </c:extLst>
        </c:ser>
        <c:ser>
          <c:idx val="0"/>
          <c:order val="0"/>
          <c:tx>
            <c:strRef>
              <c:f>'SSO-Site -25 '!$B$32</c:f>
              <c:strCache>
                <c:ptCount val="1"/>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Ref>
              <c:f>'SSO-Site -25 '!$F$32:$Q$32</c:f>
              <c:numCache>
                <c:formatCode>General</c:formatCode>
                <c:ptCount val="12"/>
              </c:numCache>
            </c:numRef>
          </c:val>
          <c:extLst>
            <c:ext xmlns:c16="http://schemas.microsoft.com/office/drawing/2014/chart" uri="{C3380CC4-5D6E-409C-BE32-E72D297353CC}">
              <c16:uniqueId val="{00000009-2D0B-43C5-B5F6-C5B7F0F535F7}"/>
            </c:ext>
          </c:extLst>
        </c:ser>
        <c:dLbls>
          <c:showLegendKey val="0"/>
          <c:showVal val="0"/>
          <c:showCatName val="0"/>
          <c:showSerName val="0"/>
          <c:showPercent val="0"/>
          <c:showBubbleSize val="0"/>
        </c:dLbls>
        <c:gapWidth val="150"/>
        <c:axId val="205718656"/>
        <c:axId val="205720192"/>
      </c:barChart>
      <c:catAx>
        <c:axId val="205718656"/>
        <c:scaling>
          <c:orientation val="minMax"/>
        </c:scaling>
        <c:delete val="0"/>
        <c:axPos val="b"/>
        <c:numFmt formatCode="General" sourceLinked="0"/>
        <c:majorTickMark val="out"/>
        <c:minorTickMark val="none"/>
        <c:tickLblPos val="nextTo"/>
        <c:crossAx val="205720192"/>
        <c:crosses val="autoZero"/>
        <c:auto val="1"/>
        <c:lblAlgn val="ctr"/>
        <c:lblOffset val="100"/>
        <c:noMultiLvlLbl val="0"/>
      </c:catAx>
      <c:valAx>
        <c:axId val="205720192"/>
        <c:scaling>
          <c:orientation val="minMax"/>
        </c:scaling>
        <c:delete val="0"/>
        <c:axPos val="l"/>
        <c:majorGridlines>
          <c:spPr>
            <a:ln>
              <a:noFill/>
            </a:ln>
          </c:spPr>
        </c:majorGridlines>
        <c:numFmt formatCode="General" sourceLinked="1"/>
        <c:majorTickMark val="out"/>
        <c:minorTickMark val="none"/>
        <c:tickLblPos val="nextTo"/>
        <c:crossAx val="205718656"/>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a:pPr>
            <a:r>
              <a:rPr lang="en-US"/>
              <a:t>Near Miss</a:t>
            </a:r>
          </a:p>
        </c:rich>
      </c:tx>
      <c:overlay val="0"/>
    </c:title>
    <c:autoTitleDeleted val="0"/>
    <c:plotArea>
      <c:layout>
        <c:manualLayout>
          <c:layoutTarget val="inner"/>
          <c:xMode val="edge"/>
          <c:yMode val="edge"/>
          <c:x val="6.4295880879998962E-2"/>
          <c:y val="2.4134256494127274E-2"/>
          <c:w val="0.90841366468412033"/>
          <c:h val="0.6392741101228604"/>
        </c:manualLayout>
      </c:layout>
      <c:barChart>
        <c:barDir val="col"/>
        <c:grouping val="clustered"/>
        <c:varyColors val="0"/>
        <c:ser>
          <c:idx val="3"/>
          <c:order val="0"/>
          <c:tx>
            <c:strRef>
              <c:f>'SSO-Site -25 '!$AJ$13</c:f>
              <c:strCache>
                <c:ptCount val="1"/>
                <c:pt idx="0">
                  <c:v>1</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'SSO-Site -25 '!$V$4:$AG$4</c:f>
              <c:strCache>
                <c:ptCount val="12"/>
                <c:pt idx="2">
                  <c:v>Jan</c:v>
                </c:pt>
                <c:pt idx="3">
                  <c:v>Feb</c:v>
                </c:pt>
                <c:pt idx="4">
                  <c:v>Mar</c:v>
                </c:pt>
                <c:pt idx="5">
                  <c:v>Apr</c:v>
                </c:pt>
                <c:pt idx="6">
                  <c:v>May</c:v>
                </c:pt>
                <c:pt idx="7">
                  <c:v>Jun</c:v>
                </c:pt>
                <c:pt idx="8">
                  <c:v>Jul</c:v>
                </c:pt>
                <c:pt idx="9">
                  <c:v>Aug</c:v>
                </c:pt>
                <c:pt idx="10">
                  <c:v>Sep</c:v>
                </c:pt>
                <c:pt idx="11">
                  <c:v>Oct</c:v>
                </c:pt>
              </c:strCache>
            </c:strRef>
          </c:cat>
          <c:val>
            <c:numRef>
              <c:f>'SSO-Site -25 '!$AK$13:$AK$24</c:f>
              <c:numCache>
                <c:formatCode>General</c:formatCode>
                <c:ptCount val="12"/>
              </c:numCache>
            </c:numRef>
          </c:val>
          <c:extLst>
            <c:ext xmlns:c16="http://schemas.microsoft.com/office/drawing/2014/chart" uri="{C3380CC4-5D6E-409C-BE32-E72D297353CC}">
              <c16:uniqueId val="{00000001-56A6-42EB-86E7-FB3B5D52B35F}"/>
            </c:ext>
          </c:extLst>
        </c:ser>
        <c:dLbls>
          <c:showLegendKey val="0"/>
          <c:showVal val="0"/>
          <c:showCatName val="0"/>
          <c:showSerName val="0"/>
          <c:showPercent val="0"/>
          <c:showBubbleSize val="0"/>
        </c:dLbls>
        <c:gapWidth val="150"/>
        <c:axId val="205781632"/>
        <c:axId val="205808000"/>
      </c:barChart>
      <c:catAx>
        <c:axId val="205781632"/>
        <c:scaling>
          <c:orientation val="minMax"/>
        </c:scaling>
        <c:delete val="0"/>
        <c:axPos val="b"/>
        <c:numFmt formatCode="General" sourceLinked="0"/>
        <c:majorTickMark val="out"/>
        <c:minorTickMark val="none"/>
        <c:tickLblPos val="nextTo"/>
        <c:crossAx val="205808000"/>
        <c:crosses val="autoZero"/>
        <c:auto val="1"/>
        <c:lblAlgn val="ctr"/>
        <c:lblOffset val="100"/>
        <c:noMultiLvlLbl val="0"/>
      </c:catAx>
      <c:valAx>
        <c:axId val="205808000"/>
        <c:scaling>
          <c:orientation val="minMax"/>
        </c:scaling>
        <c:delete val="0"/>
        <c:axPos val="l"/>
        <c:majorGridlines>
          <c:spPr>
            <a:ln>
              <a:noFill/>
            </a:ln>
          </c:spPr>
        </c:majorGridlines>
        <c:numFmt formatCode="General" sourceLinked="1"/>
        <c:majorTickMark val="out"/>
        <c:minorTickMark val="none"/>
        <c:tickLblPos val="nextTo"/>
        <c:crossAx val="205781632"/>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'SSO-Site -25 '!$B$17</c:f>
              <c:strCache>
                <c:ptCount val="1"/>
                <c:pt idx="0">
                  <c:v>PPE</c:v>
                </c:pt>
              </c:strCache>
            </c:strRef>
          </c:tx>
          <c:spPr>
            <a:solidFill>
              <a:schemeClr val="accent6"/>
            </a:solidFill>
          </c:spPr>
          <c:invertIfNegative val="0"/>
          <c:cat>
            <c:strRef>
              <c:extLst>
                <c:ext xmlns:c15="http://schemas.microsoft.com/office/drawing/2012/chart" uri="{02D57815-91ED-43cb-92C2-25804820EDAC}">
                  <c15:fullRef>
                    <c15:sqref>'SSO-Site -25 '!$F$4:$Q$4</c15:sqref>
                  </c15:fullRef>
                </c:ext>
              </c:extLst>
              <c:f>'SSO-Site -25 '!$F$4:$G$4</c:f>
              <c:strCache>
                <c:ptCount val="2"/>
                <c:pt idx="0">
                  <c:v>Jan</c:v>
                </c:pt>
                <c:pt idx="1">
                  <c:v>Feb</c:v>
                </c:pt>
              </c:strCache>
            </c:strRef>
          </c:cat>
          <c:val>
            <c:numRef>
              <c:extLst>
                <c:ext xmlns:c15="http://schemas.microsoft.com/office/drawing/2012/chart" uri="{02D57815-91ED-43cb-92C2-25804820EDAC}">
                  <c15:fullRef>
                    <c15:sqref>'SSO-Site -25 '!$F$17:$Q$17</c15:sqref>
                  </c15:fullRef>
                </c:ext>
              </c:extLst>
              <c:f>'SSO-Site -25 '!$F$17:$G$17</c:f>
              <c:numCache>
                <c:formatCode>General</c:formatCode>
                <c:ptCount val="2"/>
                <c:pt idx="1">
                  <c:v>2</c:v>
                </c:pt>
              </c:numCache>
            </c:numRef>
          </c:val>
          <c:extLst>
            <c:ext xmlns:c16="http://schemas.microsoft.com/office/drawing/2014/chart" uri="{C3380CC4-5D6E-409C-BE32-E72D297353CC}">
              <c16:uniqueId val="{00000000-77B0-4A94-AE40-FE1F60703C0D}"/>
            </c:ext>
          </c:extLst>
        </c:ser>
        <c:dLbls>
          <c:showLegendKey val="0"/>
          <c:showVal val="0"/>
          <c:showCatName val="0"/>
          <c:showSerName val="0"/>
          <c:showPercent val="0"/>
          <c:showBubbleSize val="0"/>
        </c:dLbls>
        <c:gapWidth val="150"/>
        <c:axId val="643320552"/>
        <c:axId val="643320944"/>
      </c:barChart>
      <c:lineChart>
        <c:grouping val="standard"/>
        <c:varyColors val="0"/>
        <c:ser>
          <c:idx val="1"/>
          <c:order val="1"/>
          <c:tx>
            <c:strRef>
              <c:f>'SSO-Site -25 '!$T$17</c:f>
              <c:strCache>
                <c:ptCount val="1"/>
                <c:pt idx="0">
                  <c:v>PPE</c:v>
                </c:pt>
              </c:strCache>
            </c:strRef>
          </c:tx>
          <c:spPr>
            <a:ln>
              <a:solidFill>
                <a:srgbClr val="C00000"/>
              </a:solidFill>
            </a:ln>
          </c:spPr>
          <c:marker>
            <c:spPr>
              <a:solidFill>
                <a:srgbClr val="C00000"/>
              </a:solidFill>
              <a:ln>
                <a:solidFill>
                  <a:srgbClr val="C00000"/>
                </a:solidFill>
              </a:ln>
            </c:spPr>
          </c:marker>
          <c:cat>
            <c:strRef>
              <c:extLst>
                <c:ext xmlns:c15="http://schemas.microsoft.com/office/drawing/2012/chart" uri="{02D57815-91ED-43cb-92C2-25804820EDAC}">
                  <c15:fullRef>
                    <c15:sqref>'SSO-Site -25 '!$F$4:$Q$4</c15:sqref>
                  </c15:fullRef>
                </c:ext>
              </c:extLst>
              <c:f>'SSO-Site -25 '!$F$4:$G$4</c:f>
              <c:strCache>
                <c:ptCount val="2"/>
                <c:pt idx="0">
                  <c:v>Jan</c:v>
                </c:pt>
                <c:pt idx="1">
                  <c:v>Feb</c:v>
                </c:pt>
              </c:strCache>
            </c:strRef>
          </c:cat>
          <c:val>
            <c:numRef>
              <c:extLst>
                <c:ext xmlns:c15="http://schemas.microsoft.com/office/drawing/2012/chart" uri="{02D57815-91ED-43cb-92C2-25804820EDAC}">
                  <c15:fullRef>
                    <c15:sqref>'SSO-Site -25 '!$X$17:$AI$17</c15:sqref>
                  </c15:fullRef>
                </c:ext>
              </c:extLst>
              <c:f>'SSO-Site -25 '!$X$17:$Y$17</c:f>
              <c:numCache>
                <c:formatCode>General</c:formatCode>
                <c:ptCount val="2"/>
                <c:pt idx="0">
                  <c:v>1</c:v>
                </c:pt>
                <c:pt idx="1">
                  <c:v>2</c:v>
                </c:pt>
              </c:numCache>
            </c:numRef>
          </c:val>
          <c:smooth val="0"/>
          <c:extLst>
            <c:ext xmlns:c16="http://schemas.microsoft.com/office/drawing/2014/chart" uri="{C3380CC4-5D6E-409C-BE32-E72D297353CC}">
              <c16:uniqueId val="{00000001-77B0-4A94-AE40-FE1F60703C0D}"/>
            </c:ext>
          </c:extLst>
        </c:ser>
        <c:dLbls>
          <c:showLegendKey val="0"/>
          <c:showVal val="0"/>
          <c:showCatName val="0"/>
          <c:showSerName val="0"/>
          <c:showPercent val="0"/>
          <c:showBubbleSize val="0"/>
        </c:dLbls>
        <c:marker val="1"/>
        <c:smooth val="0"/>
        <c:axId val="643320552"/>
        <c:axId val="643320944"/>
      </c:lineChart>
      <c:catAx>
        <c:axId val="643320552"/>
        <c:scaling>
          <c:orientation val="minMax"/>
        </c:scaling>
        <c:delete val="0"/>
        <c:axPos val="b"/>
        <c:numFmt formatCode="General" sourceLinked="0"/>
        <c:majorTickMark val="out"/>
        <c:minorTickMark val="none"/>
        <c:tickLblPos val="nextTo"/>
        <c:crossAx val="643320944"/>
        <c:crosses val="autoZero"/>
        <c:auto val="1"/>
        <c:lblAlgn val="ctr"/>
        <c:lblOffset val="100"/>
        <c:noMultiLvlLbl val="0"/>
      </c:catAx>
      <c:valAx>
        <c:axId val="643320944"/>
        <c:scaling>
          <c:orientation val="minMax"/>
        </c:scaling>
        <c:delete val="0"/>
        <c:axPos val="l"/>
        <c:majorGridlines/>
        <c:numFmt formatCode="General" sourceLinked="1"/>
        <c:majorTickMark val="out"/>
        <c:minorTickMark val="none"/>
        <c:tickLblPos val="nextTo"/>
        <c:crossAx val="643320552"/>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baseline="0"/>
              <a:t>Observations </a:t>
            </a:r>
            <a:endParaRPr lang="en-US"/>
          </a:p>
        </c:rich>
      </c:tx>
      <c:overlay val="0"/>
    </c:title>
    <c:autoTitleDeleted val="0"/>
    <c:plotArea>
      <c:layout/>
      <c:barChart>
        <c:barDir val="col"/>
        <c:grouping val="clustered"/>
        <c:varyColors val="0"/>
        <c:ser>
          <c:idx val="0"/>
          <c:order val="0"/>
          <c:tx>
            <c:v>Actual Contacts</c:v>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extLst>
                <c:ext xmlns:c15="http://schemas.microsoft.com/office/drawing/2012/chart" uri="{02D57815-91ED-43cb-92C2-25804820EDAC}">
                  <c15:fullRef>
                    <c15:sqref>'SSO-Site -25 '!$X$4:$AI$4</c15:sqref>
                  </c15:fullRef>
                </c:ext>
              </c:extLst>
              <c:f>'SSO-Site -25 '!$X$4:$AB$4</c:f>
              <c:strCache>
                <c:ptCount val="5"/>
                <c:pt idx="0">
                  <c:v>Jan</c:v>
                </c:pt>
                <c:pt idx="1">
                  <c:v>Feb</c:v>
                </c:pt>
                <c:pt idx="2">
                  <c:v>Mar</c:v>
                </c:pt>
                <c:pt idx="3">
                  <c:v>Apr</c:v>
                </c:pt>
                <c:pt idx="4">
                  <c:v>May</c:v>
                </c:pt>
              </c:strCache>
            </c:strRef>
          </c:cat>
          <c:val>
            <c:numRef>
              <c:extLst>
                <c:ext xmlns:c15="http://schemas.microsoft.com/office/drawing/2012/chart" uri="{02D57815-91ED-43cb-92C2-25804820EDAC}">
                  <c15:fullRef>
                    <c15:sqref>'SSO-Site -25 '!$V$40:$AG$40</c15:sqref>
                  </c15:fullRef>
                </c:ext>
              </c:extLst>
              <c:f>'SSO-Site -25 '!$V$40:$Z$40</c:f>
              <c:numCache>
                <c:formatCode>General</c:formatCode>
                <c:ptCount val="5"/>
                <c:pt idx="0">
                  <c:v>13</c:v>
                </c:pt>
                <c:pt idx="1">
                  <c:v>24</c:v>
                </c:pt>
                <c:pt idx="2" formatCode="0">
                  <c:v>20</c:v>
                </c:pt>
                <c:pt idx="3" formatCode="0">
                  <c:v>20</c:v>
                </c:pt>
                <c:pt idx="4" formatCode="0">
                  <c:v>22</c:v>
                </c:pt>
              </c:numCache>
            </c:numRef>
          </c:val>
          <c:extLst>
            <c:ext xmlns:c16="http://schemas.microsoft.com/office/drawing/2014/chart" uri="{C3380CC4-5D6E-409C-BE32-E72D297353CC}">
              <c16:uniqueId val="{00000000-872C-48C7-8797-588D800339EA}"/>
            </c:ext>
          </c:extLst>
        </c:ser>
        <c:dLbls>
          <c:showLegendKey val="0"/>
          <c:showVal val="0"/>
          <c:showCatName val="0"/>
          <c:showSerName val="0"/>
          <c:showPercent val="0"/>
          <c:showBubbleSize val="0"/>
        </c:dLbls>
        <c:gapWidth val="150"/>
        <c:axId val="643321728"/>
        <c:axId val="643322120"/>
      </c:barChart>
      <c:lineChart>
        <c:grouping val="standard"/>
        <c:varyColors val="0"/>
        <c:dLbls>
          <c:showLegendKey val="0"/>
          <c:showVal val="0"/>
          <c:showCatName val="0"/>
          <c:showSerName val="0"/>
          <c:showPercent val="0"/>
          <c:showBubbleSize val="0"/>
        </c:dLbls>
        <c:marker val="1"/>
        <c:smooth val="0"/>
        <c:axId val="643321728"/>
        <c:axId val="643322120"/>
        <c:extLst>
          <c:ext xmlns:c15="http://schemas.microsoft.com/office/drawing/2012/chart" uri="{02D57815-91ED-43cb-92C2-25804820EDAC}">
            <c15:filteredLineSeries>
              <c15:ser>
                <c:idx val="1"/>
                <c:order val="1"/>
                <c:tx>
                  <c:v>Target</c:v>
                </c:tx>
                <c:marker>
                  <c:symbol val="none"/>
                </c:marker>
                <c:cat>
                  <c:strRef>
                    <c:extLst>
                      <c:ext uri="{02D57815-91ED-43cb-92C2-25804820EDAC}">
                        <c15:fullRef>
                          <c15:sqref>'SSO-Site -25 '!$V$4:$AG$4</c15:sqref>
                        </c15:fullRef>
                        <c15:formulaRef>
                          <c15:sqref>'SSO-Site -25 '!$V$4:$Z$4</c15:sqref>
                        </c15:formulaRef>
                      </c:ext>
                    </c:extLst>
                    <c:strCache>
                      <c:ptCount val="5"/>
                      <c:pt idx="2">
                        <c:v>Jan</c:v>
                      </c:pt>
                      <c:pt idx="3">
                        <c:v>Feb</c:v>
                      </c:pt>
                      <c:pt idx="4">
                        <c:v>Mar</c:v>
                      </c:pt>
                    </c:strCache>
                  </c:strRef>
                </c:cat>
                <c:val>
                  <c:numRef>
                    <c:extLst>
                      <c:ext uri="{02D57815-91ED-43cb-92C2-25804820EDAC}">
                        <c15:fullRef>
                          <c15:sqref>'SSO-Site -25 '!$V$36:$AG$36</c15:sqref>
                        </c15:fullRef>
                        <c15:formulaRef>
                          <c15:sqref>'SSO-Site -25 '!$V$36:$Z$36</c15:sqref>
                        </c15:formulaRef>
                      </c:ext>
                    </c:extLst>
                    <c:numCache>
                      <c:formatCode>General</c:formatCode>
                      <c:ptCount val="5"/>
                    </c:numCache>
                  </c:numRef>
                </c:val>
                <c:smooth val="0"/>
                <c:extLst>
                  <c:ext xmlns:c16="http://schemas.microsoft.com/office/drawing/2014/chart" uri="{C3380CC4-5D6E-409C-BE32-E72D297353CC}">
                    <c16:uniqueId val="{00000001-872C-48C7-8797-588D800339EA}"/>
                  </c:ext>
                </c:extLst>
              </c15:ser>
            </c15:filteredLineSeries>
          </c:ext>
        </c:extLst>
      </c:lineChart>
      <c:catAx>
        <c:axId val="643321728"/>
        <c:scaling>
          <c:orientation val="minMax"/>
        </c:scaling>
        <c:delete val="0"/>
        <c:axPos val="b"/>
        <c:numFmt formatCode="General" sourceLinked="0"/>
        <c:majorTickMark val="out"/>
        <c:minorTickMark val="none"/>
        <c:tickLblPos val="nextTo"/>
        <c:crossAx val="643322120"/>
        <c:crosses val="autoZero"/>
        <c:auto val="1"/>
        <c:lblAlgn val="ctr"/>
        <c:lblOffset val="100"/>
        <c:noMultiLvlLbl val="0"/>
      </c:catAx>
      <c:valAx>
        <c:axId val="643322120"/>
        <c:scaling>
          <c:orientation val="minMax"/>
        </c:scaling>
        <c:delete val="0"/>
        <c:axPos val="l"/>
        <c:numFmt formatCode="General" sourceLinked="1"/>
        <c:majorTickMark val="out"/>
        <c:minorTickMark val="none"/>
        <c:tickLblPos val="nextTo"/>
        <c:crossAx val="643321728"/>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 Participation</a:t>
            </a:r>
          </a:p>
        </c:rich>
      </c:tx>
      <c:overlay val="0"/>
    </c:title>
    <c:autoTitleDeleted val="0"/>
    <c:plotArea>
      <c:layout/>
      <c:lineChart>
        <c:grouping val="standard"/>
        <c:varyColors val="0"/>
        <c:ser>
          <c:idx val="0"/>
          <c:order val="0"/>
          <c:tx>
            <c:v>Supervisor Participation</c:v>
          </c:tx>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'SSO-Site -25 '!$V$4:$AG$4</c:f>
              <c:strCache>
                <c:ptCount val="12"/>
                <c:pt idx="2">
                  <c:v>Jan</c:v>
                </c:pt>
                <c:pt idx="3">
                  <c:v>Feb</c:v>
                </c:pt>
                <c:pt idx="4">
                  <c:v>Mar</c:v>
                </c:pt>
                <c:pt idx="5">
                  <c:v>Apr</c:v>
                </c:pt>
                <c:pt idx="6">
                  <c:v>May</c:v>
                </c:pt>
                <c:pt idx="7">
                  <c:v>Jun</c:v>
                </c:pt>
                <c:pt idx="8">
                  <c:v>Jul</c:v>
                </c:pt>
                <c:pt idx="9">
                  <c:v>Aug</c:v>
                </c:pt>
                <c:pt idx="10">
                  <c:v>Sep</c:v>
                </c:pt>
                <c:pt idx="11">
                  <c:v>Oct</c:v>
                </c:pt>
              </c:strCache>
            </c:strRef>
          </c:cat>
          <c:val>
            <c:numRef>
              <c:f>'SSO-Site -25 '!$V$38:$AG$38</c:f>
              <c:numCache>
                <c:formatCode>0%</c:formatCode>
                <c:ptCount val="12"/>
              </c:numCache>
            </c:numRef>
          </c:val>
          <c:smooth val="0"/>
          <c:extLst>
            <c:ext xmlns:c16="http://schemas.microsoft.com/office/drawing/2014/chart" uri="{C3380CC4-5D6E-409C-BE32-E72D297353CC}">
              <c16:uniqueId val="{00000000-42E8-4C6D-8B7C-5CA602575384}"/>
            </c:ext>
          </c:extLst>
        </c:ser>
        <c:dLbls>
          <c:showLegendKey val="0"/>
          <c:showVal val="0"/>
          <c:showCatName val="0"/>
          <c:showSerName val="0"/>
          <c:showPercent val="0"/>
          <c:showBubbleSize val="0"/>
        </c:dLbls>
        <c:marker val="1"/>
        <c:smooth val="0"/>
        <c:axId val="643322904"/>
        <c:axId val="643323296"/>
      </c:lineChart>
      <c:catAx>
        <c:axId val="643322904"/>
        <c:scaling>
          <c:orientation val="minMax"/>
        </c:scaling>
        <c:delete val="0"/>
        <c:axPos val="b"/>
        <c:numFmt formatCode="General" sourceLinked="0"/>
        <c:majorTickMark val="out"/>
        <c:minorTickMark val="none"/>
        <c:tickLblPos val="nextTo"/>
        <c:crossAx val="643323296"/>
        <c:crosses val="autoZero"/>
        <c:auto val="1"/>
        <c:lblAlgn val="ctr"/>
        <c:lblOffset val="100"/>
        <c:noMultiLvlLbl val="0"/>
      </c:catAx>
      <c:valAx>
        <c:axId val="643323296"/>
        <c:scaling>
          <c:orientation val="minMax"/>
        </c:scaling>
        <c:delete val="1"/>
        <c:axPos val="l"/>
        <c:majorGridlines/>
        <c:numFmt formatCode="0%" sourceLinked="1"/>
        <c:majorTickMark val="out"/>
        <c:minorTickMark val="none"/>
        <c:tickLblPos val="nextTo"/>
        <c:crossAx val="643322904"/>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'SSO-Site -25 '!$B$8</c:f>
              <c:strCache>
                <c:ptCount val="1"/>
                <c:pt idx="0">
                  <c:v>Electrical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'SSO-Site -25 '!$F$4:$Q$4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'SSO-Site -25 '!$F$8:$Q$8</c:f>
              <c:numCache>
                <c:formatCode>General</c:formatCode>
                <c:ptCount val="12"/>
              </c:numCache>
            </c:numRef>
          </c:val>
          <c:smooth val="0"/>
          <c:extLst>
            <c:ext xmlns:c16="http://schemas.microsoft.com/office/drawing/2014/chart" uri="{C3380CC4-5D6E-409C-BE32-E72D297353CC}">
              <c16:uniqueId val="{00000000-5442-4006-BEEE-CBF03D55B388}"/>
            </c:ext>
          </c:extLst>
        </c:ser>
        <c:ser>
          <c:idx val="1"/>
          <c:order val="1"/>
          <c:tx>
            <c:strRef>
              <c:f>'SSO-Site -25 '!$B$9</c:f>
              <c:strCache>
                <c:ptCount val="1"/>
                <c:pt idx="0">
                  <c:v>Ergonomics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0"/>
          </c:trendline>
          <c:cat>
            <c:strRef>
              <c:f>'SSO-Site -25 '!$F$4:$Q$4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'SSO-Site -25 '!$F$9:$Q$9</c:f>
              <c:numCache>
                <c:formatCode>General</c:formatCode>
                <c:ptCount val="12"/>
              </c:numCache>
            </c:numRef>
          </c:val>
          <c:smooth val="0"/>
          <c:extLst>
            <c:ext xmlns:c16="http://schemas.microsoft.com/office/drawing/2014/chart" uri="{C3380CC4-5D6E-409C-BE32-E72D297353CC}">
              <c16:uniqueId val="{00000001-5442-4006-BEEE-CBF03D55B388}"/>
            </c:ext>
          </c:extLst>
        </c:ser>
        <c:dLbls>
          <c:showLegendKey val="0"/>
          <c:showVal val="0"/>
          <c:showCatName val="0"/>
          <c:showSerName val="0"/>
          <c:showPercent val="0"/>
          <c:showBubbleSize val="0"/>
        </c:dLbls>
        <c:marker val="1"/>
        <c:smooth val="0"/>
        <c:axId val="643324080"/>
        <c:axId val="643324472"/>
      </c:lineChart>
      <c:catAx>
        <c:axId val="643324080"/>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324472"/>
        <c:crosses val="autoZero"/>
        <c:auto val="1"/>
        <c:lblAlgn val="ctr"/>
        <c:lblOffset val="100"/>
        <c:noMultiLvlLbl val="0"/>
      </c:catAx>
      <c:valAx>
        <c:axId val="6433244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3240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1"/>
          <c:order val="1"/>
          <c:tx>
            <c:strRef>
              <c:f>'SSO-Site -25 '!$B$15</c:f>
              <c:strCache>
                <c:ptCount val="1"/>
                <c:pt idx="0">
                  <c:v>Material handling or lifiting </c:v>
                </c:pt>
              </c:strCache>
            </c:strRef>
          </c:tx>
          <c:invertIfNegative val="0"/>
          <c:cat>
            <c:strRef>
              <c:f>'SSO-Site -25 '!$F$4:$Q$4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'SSO-Site -25 '!$F$15:$Q$15</c:f>
              <c:numCache>
                <c:formatCode>General</c:formatCode>
                <c:ptCount val="12"/>
                <c:pt idx="0">
                  <c:v>2</c:v>
                </c:pt>
                <c:pt idx="1">
                  <c:v>2</c:v>
                </c:pt>
                <c:pt idx="4">
                  <c:v>1</c:v>
                </c:pt>
              </c:numCache>
            </c:numRef>
          </c:val>
          <c:extLst>
            <c:ext xmlns:c16="http://schemas.microsoft.com/office/drawing/2014/chart" uri="{C3380CC4-5D6E-409C-BE32-E72D297353CC}">
              <c16:uniqueId val="{00000000-B0DE-4D5F-85D6-C3E6E5E91CA4}"/>
            </c:ext>
          </c:extLst>
        </c:ser>
        <c:dLbls>
          <c:showLegendKey val="0"/>
          <c:showVal val="0"/>
          <c:showCatName val="0"/>
          <c:showSerName val="0"/>
          <c:showPercent val="0"/>
          <c:showBubbleSize val="0"/>
        </c:dLbls>
        <c:gapWidth val="150"/>
        <c:axId val="676491248"/>
        <c:axId val="676491640"/>
      </c:barChart>
      <c:lineChart>
        <c:grouping val="standard"/>
        <c:varyColors val="0"/>
        <c:ser>
          <c:idx val="0"/>
          <c:order val="0"/>
          <c:tx>
            <c:strRef>
              <c:f>'SSO-Site -25 '!$B$14</c:f>
              <c:strCache>
                <c:ptCount val="1"/>
                <c:pt idx="0">
                  <c:v>Material defect</c:v>
                </c:pt>
              </c:strCache>
            </c:strRef>
          </c:tx>
          <c:cat>
            <c:strRef>
              <c:f>'SSO-Site -25 '!$F$4:$Q$4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'SSO-Site -25 '!$F$14:$Q$14</c:f>
              <c:numCache>
                <c:formatCode>General</c:formatCode>
                <c:ptCount val="12"/>
              </c:numCache>
            </c:numRef>
          </c:val>
          <c:smooth val="0"/>
          <c:extLst>
            <c:ext xmlns:c16="http://schemas.microsoft.com/office/drawing/2014/chart" uri="{C3380CC4-5D6E-409C-BE32-E72D297353CC}">
              <c16:uniqueId val="{00000001-B0DE-4D5F-85D6-C3E6E5E91CA4}"/>
            </c:ext>
          </c:extLst>
        </c:ser>
        <c:dLbls>
          <c:showLegendKey val="0"/>
          <c:showVal val="0"/>
          <c:showCatName val="0"/>
          <c:showSerName val="0"/>
          <c:showPercent val="0"/>
          <c:showBubbleSize val="0"/>
        </c:dLbls>
        <c:marker val="1"/>
        <c:smooth val="0"/>
        <c:axId val="676491248"/>
        <c:axId val="676491640"/>
      </c:lineChart>
      <c:catAx>
        <c:axId val="676491248"/>
        <c:scaling>
          <c:orientation val="minMax"/>
        </c:scaling>
        <c:delete val="0"/>
        <c:axPos val="b"/>
        <c:numFmt formatCode="General" sourceLinked="0"/>
        <c:majorTickMark val="out"/>
        <c:minorTickMark val="none"/>
        <c:tickLblPos val="nextTo"/>
        <c:crossAx val="676491640"/>
        <c:crosses val="autoZero"/>
        <c:auto val="1"/>
        <c:lblAlgn val="ctr"/>
        <c:lblOffset val="100"/>
        <c:noMultiLvlLbl val="0"/>
      </c:catAx>
      <c:valAx>
        <c:axId val="676491640"/>
        <c:scaling>
          <c:orientation val="minMax"/>
        </c:scaling>
        <c:delete val="0"/>
        <c:axPos val="l"/>
        <c:majorGridlines/>
        <c:numFmt formatCode="General" sourceLinked="1"/>
        <c:majorTickMark val="out"/>
        <c:minorTickMark val="none"/>
        <c:tickLblPos val="nextTo"/>
        <c:crossAx val="676491248"/>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1"/>
          <c:order val="1"/>
          <c:tx>
            <c:strRef>
              <c:f>'SSO-Site -25 '!$B$12</c:f>
              <c:strCache>
                <c:ptCount val="1"/>
                <c:pt idx="0">
                  <c:v>Housekeepng</c:v>
                </c:pt>
              </c:strCache>
            </c:strRef>
          </c:tx>
          <c:invertIfNegative val="0"/>
          <c:cat>
            <c:strRef>
              <c:f>'SSO-Site -25 '!$F$4:$Q$4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'SSO-Site -25 '!$F$12:$Q$12</c:f>
              <c:numCache>
                <c:formatCode>General</c:formatCode>
                <c:ptCount val="12"/>
                <c:pt idx="1">
                  <c:v>1</c:v>
                </c:pt>
                <c:pt idx="2">
                  <c:v>4</c:v>
                </c:pt>
                <c:pt idx="3">
                  <c:v>3</c:v>
                </c:pt>
              </c:numCache>
            </c:numRef>
          </c:val>
          <c:extLst>
            <c:ext xmlns:c16="http://schemas.microsoft.com/office/drawing/2014/chart" uri="{C3380CC4-5D6E-409C-BE32-E72D297353CC}">
              <c16:uniqueId val="{00000000-6AF6-48D9-A5F3-D852B74A8226}"/>
            </c:ext>
          </c:extLst>
        </c:ser>
        <c:dLbls>
          <c:showLegendKey val="0"/>
          <c:showVal val="0"/>
          <c:showCatName val="0"/>
          <c:showSerName val="0"/>
          <c:showPercent val="0"/>
          <c:showBubbleSize val="0"/>
        </c:dLbls>
        <c:gapWidth val="150"/>
        <c:axId val="676492424"/>
        <c:axId val="676492816"/>
      </c:barChart>
      <c:lineChart>
        <c:grouping val="standard"/>
        <c:varyColors val="0"/>
        <c:ser>
          <c:idx val="0"/>
          <c:order val="0"/>
          <c:tx>
            <c:strRef>
              <c:f>'SSO-Site -25 '!$B$11</c:f>
              <c:strCache>
                <c:ptCount val="1"/>
                <c:pt idx="0">
                  <c:v>Forklift</c:v>
                </c:pt>
              </c:strCache>
            </c:strRef>
          </c:tx>
          <c:cat>
            <c:strRef>
              <c:f>'SSO-Site -25 '!$F$4:$Q$4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'SSO-Site -25 '!$F$11:$Q$11</c:f>
              <c:numCache>
                <c:formatCode>General</c:formatCode>
                <c:ptCount val="12"/>
                <c:pt idx="1">
                  <c:v>2</c:v>
                </c:pt>
                <c:pt idx="2">
                  <c:v>4</c:v>
                </c:pt>
                <c:pt idx="3">
                  <c:v>3</c:v>
                </c:pt>
                <c:pt idx="4">
                  <c:v>1</c:v>
                </c:pt>
              </c:numCache>
            </c:numRef>
          </c:val>
          <c:smooth val="0"/>
          <c:extLst>
            <c:ext xmlns:c16="http://schemas.microsoft.com/office/drawing/2014/chart" uri="{C3380CC4-5D6E-409C-BE32-E72D297353CC}">
              <c16:uniqueId val="{00000001-6AF6-48D9-A5F3-D852B74A8226}"/>
            </c:ext>
          </c:extLst>
        </c:ser>
        <c:dLbls>
          <c:showLegendKey val="0"/>
          <c:showVal val="0"/>
          <c:showCatName val="0"/>
          <c:showSerName val="0"/>
          <c:showPercent val="0"/>
          <c:showBubbleSize val="0"/>
        </c:dLbls>
        <c:marker val="1"/>
        <c:smooth val="0"/>
        <c:axId val="676492424"/>
        <c:axId val="676492816"/>
      </c:lineChart>
      <c:catAx>
        <c:axId val="676492424"/>
        <c:scaling>
          <c:orientation val="minMax"/>
        </c:scaling>
        <c:delete val="0"/>
        <c:axPos val="b"/>
        <c:numFmt formatCode="General" sourceLinked="0"/>
        <c:majorTickMark val="out"/>
        <c:minorTickMark val="none"/>
        <c:tickLblPos val="nextTo"/>
        <c:crossAx val="676492816"/>
        <c:crosses val="autoZero"/>
        <c:auto val="1"/>
        <c:lblAlgn val="ctr"/>
        <c:lblOffset val="100"/>
        <c:noMultiLvlLbl val="0"/>
      </c:catAx>
      <c:valAx>
        <c:axId val="676492816"/>
        <c:scaling>
          <c:orientation val="minMax"/>
        </c:scaling>
        <c:delete val="0"/>
        <c:axPos val="l"/>
        <c:majorGridlines/>
        <c:numFmt formatCode="General" sourceLinked="1"/>
        <c:majorTickMark val="out"/>
        <c:minorTickMark val="none"/>
        <c:tickLblPos val="nextTo"/>
        <c:crossAx val="676492424"/>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1"/>
          <c:order val="1"/>
          <c:tx>
            <c:strRef>
              <c:f>'SSO-Site -25 '!$B$17</c:f>
              <c:strCache>
                <c:ptCount val="1"/>
                <c:pt idx="0">
                  <c:v>PPE</c:v>
                </c:pt>
              </c:strCache>
            </c:strRef>
          </c:tx>
          <c:invertIfNegative val="0"/>
          <c:cat>
            <c:strRef>
              <c:f>'SSO-Site -25 '!$F$4:$Q$4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'SSO-Site -25 '!$F$17:$Q$17</c:f>
              <c:numCache>
                <c:formatCode>General</c:formatCode>
                <c:ptCount val="12"/>
                <c:pt idx="1">
                  <c:v>2</c:v>
                </c:pt>
                <c:pt idx="2">
                  <c:v>1</c:v>
                </c:pt>
                <c:pt idx="3">
                  <c:v>4</c:v>
                </c:pt>
                <c:pt idx="4">
                  <c:v>5</c:v>
                </c:pt>
              </c:numCache>
            </c:numRef>
          </c:val>
          <c:extLst>
            <c:ext xmlns:c16="http://schemas.microsoft.com/office/drawing/2014/chart" uri="{C3380CC4-5D6E-409C-BE32-E72D297353CC}">
              <c16:uniqueId val="{00000000-A43E-4F83-8566-854A914DF256}"/>
            </c:ext>
          </c:extLst>
        </c:ser>
        <c:ser>
          <c:idx val="2"/>
          <c:order val="2"/>
          <c:tx>
            <c:strRef>
              <c:f>'SSO-Site -25 '!$B$18</c:f>
              <c:strCache>
                <c:ptCount val="1"/>
                <c:pt idx="0">
                  <c:v>Respiratory protection</c:v>
                </c:pt>
              </c:strCache>
            </c:strRef>
          </c:tx>
          <c:invertIfNegative val="0"/>
          <c:cat>
            <c:strRef>
              <c:f>'SSO-Site -25 '!$F$4:$Q$4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'SSO-Site -25 '!$F$18:$Q$18</c:f>
              <c:numCache>
                <c:formatCode>General</c:formatCode>
                <c:ptCount val="12"/>
              </c:numCache>
            </c:numRef>
          </c:val>
          <c:extLst>
            <c:ext xmlns:c16="http://schemas.microsoft.com/office/drawing/2014/chart" uri="{C3380CC4-5D6E-409C-BE32-E72D297353CC}">
              <c16:uniqueId val="{00000001-A43E-4F83-8566-854A914DF256}"/>
            </c:ext>
          </c:extLst>
        </c:ser>
        <c:dLbls>
          <c:showLegendKey val="0"/>
          <c:showVal val="0"/>
          <c:showCatName val="0"/>
          <c:showSerName val="0"/>
          <c:showPercent val="0"/>
          <c:showBubbleSize val="0"/>
        </c:dLbls>
        <c:gapWidth val="150"/>
        <c:axId val="676493600"/>
        <c:axId val="676493992"/>
      </c:barChart>
      <c:lineChart>
        <c:grouping val="standard"/>
        <c:varyColors val="0"/>
        <c:ser>
          <c:idx val="0"/>
          <c:order val="0"/>
          <c:tx>
            <c:strRef>
              <c:f>'SSO-Site -25 '!$B$16</c:f>
              <c:strCache>
                <c:ptCount val="1"/>
                <c:pt idx="0">
                  <c:v>Non work related </c:v>
                </c:pt>
              </c:strCache>
            </c:strRef>
          </c:tx>
          <c:marker>
            <c:symbol val="none"/>
          </c:marker>
          <c:cat>
            <c:strRef>
              <c:f>'SSO-Site -25 '!$F$4:$Q$4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'SSO-Site -25 '!$F$16:$Q$16</c:f>
              <c:numCache>
                <c:formatCode>General</c:formatCode>
                <c:ptCount val="12"/>
              </c:numCache>
            </c:numRef>
          </c:val>
          <c:smooth val="0"/>
          <c:extLst>
            <c:ext xmlns:c16="http://schemas.microsoft.com/office/drawing/2014/chart" uri="{C3380CC4-5D6E-409C-BE32-E72D297353CC}">
              <c16:uniqueId val="{00000002-A43E-4F83-8566-854A914DF256}"/>
            </c:ext>
          </c:extLst>
        </c:ser>
        <c:dLbls>
          <c:showLegendKey val="0"/>
          <c:showVal val="0"/>
          <c:showCatName val="0"/>
          <c:showSerName val="0"/>
          <c:showPercent val="0"/>
          <c:showBubbleSize val="0"/>
        </c:dLbls>
        <c:marker val="1"/>
        <c:smooth val="0"/>
        <c:axId val="676493600"/>
        <c:axId val="676493992"/>
      </c:lineChart>
      <c:catAx>
        <c:axId val="676493600"/>
        <c:scaling>
          <c:orientation val="minMax"/>
        </c:scaling>
        <c:delete val="0"/>
        <c:axPos val="b"/>
        <c:numFmt formatCode="General" sourceLinked="0"/>
        <c:majorTickMark val="out"/>
        <c:minorTickMark val="none"/>
        <c:tickLblPos val="nextTo"/>
        <c:crossAx val="676493992"/>
        <c:crosses val="autoZero"/>
        <c:auto val="1"/>
        <c:lblAlgn val="ctr"/>
        <c:lblOffset val="100"/>
        <c:noMultiLvlLbl val="0"/>
      </c:catAx>
      <c:valAx>
        <c:axId val="676493992"/>
        <c:scaling>
          <c:orientation val="minMax"/>
        </c:scaling>
        <c:delete val="0"/>
        <c:axPos val="l"/>
        <c:numFmt formatCode="General" sourceLinked="1"/>
        <c:majorTickMark val="out"/>
        <c:minorTickMark val="none"/>
        <c:tickLblPos val="nextTo"/>
        <c:crossAx val="676493600"/>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1"/>
          <c:order val="1"/>
          <c:tx>
            <c:strRef>
              <c:f>'SSO-Site -25 '!$B$20</c:f>
              <c:strCache>
                <c:ptCount val="1"/>
                <c:pt idx="0">
                  <c:v>Stairs, ladders</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'SSO-Site -25 '!$F$4:$Q$4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'SSO-Site -25 '!$F$20:$Q$20</c:f>
              <c:numCache>
                <c:formatCode>General</c:formatCode>
                <c:ptCount val="12"/>
              </c:numCache>
            </c:numRef>
          </c:val>
          <c:extLst>
            <c:ext xmlns:c16="http://schemas.microsoft.com/office/drawing/2014/chart" uri="{C3380CC4-5D6E-409C-BE32-E72D297353CC}">
              <c16:uniqueId val="{00000000-51EC-45EA-A4BD-C977CF17E042}"/>
            </c:ext>
          </c:extLst>
        </c:ser>
        <c:ser>
          <c:idx val="2"/>
          <c:order val="2"/>
          <c:tx>
            <c:strRef>
              <c:f>'SSO-Site -25 '!$B$21</c:f>
              <c:strCache>
                <c:ptCount val="1"/>
                <c:pt idx="0">
                  <c:v>Tools &amp; Equipment</c:v>
                </c:pt>
              </c:strCache>
            </c:strRef>
          </c:tx>
          <c:invertIfNegative val="0"/>
          <c:cat>
            <c:strRef>
              <c:f>'SSO-Site -25 '!$F$4:$Q$4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'SSO-Site -25 '!$F$21:$Q$21</c:f>
              <c:numCache>
                <c:formatCode>General</c:formatCode>
                <c:ptCount val="12"/>
              </c:numCache>
            </c:numRef>
          </c:val>
          <c:extLst>
            <c:ext xmlns:c16="http://schemas.microsoft.com/office/drawing/2014/chart" uri="{C3380CC4-5D6E-409C-BE32-E72D297353CC}">
              <c16:uniqueId val="{00000001-51EC-45EA-A4BD-C977CF17E042}"/>
            </c:ext>
          </c:extLst>
        </c:ser>
        <c:dLbls>
          <c:showLegendKey val="0"/>
          <c:showVal val="0"/>
          <c:showCatName val="0"/>
          <c:showSerName val="0"/>
          <c:showPercent val="0"/>
          <c:showBubbleSize val="0"/>
        </c:dLbls>
        <c:gapWidth val="150"/>
        <c:axId val="676494776"/>
        <c:axId val="676495168"/>
      </c:barChart>
      <c:lineChart>
        <c:grouping val="standard"/>
        <c:varyColors val="0"/>
        <c:ser>
          <c:idx val="0"/>
          <c:order val="0"/>
          <c:tx>
            <c:strRef>
              <c:f>'SSO-Site -25 '!$B$19</c:f>
              <c:strCache>
                <c:ptCount val="1"/>
                <c:pt idx="0">
                  <c:v>Slip, trip, fall</c:v>
                </c:pt>
              </c:strCache>
            </c:strRef>
          </c:tx>
          <c:marker>
            <c:symbol val="none"/>
          </c:marker>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'SSO-Site -25 '!$F$4:$Q$4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'SSO-Site -25 '!$F$19:$Q$19</c:f>
              <c:numCache>
                <c:formatCode>General</c:formatCode>
                <c:ptCount val="12"/>
              </c:numCache>
            </c:numRef>
          </c:val>
          <c:smooth val="0"/>
          <c:extLst>
            <c:ext xmlns:c16="http://schemas.microsoft.com/office/drawing/2014/chart" uri="{C3380CC4-5D6E-409C-BE32-E72D297353CC}">
              <c16:uniqueId val="{00000002-51EC-45EA-A4BD-C977CF17E042}"/>
            </c:ext>
          </c:extLst>
        </c:ser>
        <c:dLbls>
          <c:showLegendKey val="0"/>
          <c:showVal val="0"/>
          <c:showCatName val="0"/>
          <c:showSerName val="0"/>
          <c:showPercent val="0"/>
          <c:showBubbleSize val="0"/>
        </c:dLbls>
        <c:marker val="1"/>
        <c:smooth val="0"/>
        <c:axId val="676494776"/>
        <c:axId val="676495168"/>
      </c:lineChart>
      <c:catAx>
        <c:axId val="676494776"/>
        <c:scaling>
          <c:orientation val="minMax"/>
        </c:scaling>
        <c:delete val="0"/>
        <c:axPos val="b"/>
        <c:numFmt formatCode="General" sourceLinked="0"/>
        <c:majorTickMark val="out"/>
        <c:minorTickMark val="none"/>
        <c:tickLblPos val="nextTo"/>
        <c:crossAx val="676495168"/>
        <c:crosses val="autoZero"/>
        <c:auto val="1"/>
        <c:lblAlgn val="ctr"/>
        <c:lblOffset val="100"/>
        <c:noMultiLvlLbl val="0"/>
      </c:catAx>
      <c:valAx>
        <c:axId val="676495168"/>
        <c:scaling>
          <c:orientation val="minMax"/>
        </c:scaling>
        <c:delete val="0"/>
        <c:axPos val="l"/>
        <c:majorGridlines/>
        <c:numFmt formatCode="General" sourceLinked="1"/>
        <c:majorTickMark val="out"/>
        <c:minorTickMark val="none"/>
        <c:tickLblPos val="nextTo"/>
        <c:crossAx val="676494776"/>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1"/>
          <c:order val="1"/>
          <c:tx>
            <c:strRef>
              <c:f>'SSO-Site -25 '!$B$23</c:f>
              <c:strCache>
                <c:ptCount val="1"/>
                <c:pt idx="0">
                  <c:v>Vehicle not company owned </c:v>
                </c:pt>
              </c:strCache>
            </c:strRef>
          </c:tx>
          <c:invertIfNegative val="0"/>
          <c:cat>
            <c:strRef>
              <c:f>'SSO-Site -25 '!$F$4:$Q$4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'SSO-Site -25 '!$F$23:$Q$23</c:f>
              <c:numCache>
                <c:formatCode>General</c:formatCode>
                <c:ptCount val="12"/>
              </c:numCache>
            </c:numRef>
          </c:val>
          <c:extLst>
            <c:ext xmlns:c16="http://schemas.microsoft.com/office/drawing/2014/chart" uri="{C3380CC4-5D6E-409C-BE32-E72D297353CC}">
              <c16:uniqueId val="{00000000-60B2-483F-8E46-7D0C28BEC30E}"/>
            </c:ext>
          </c:extLst>
        </c:ser>
        <c:ser>
          <c:idx val="2"/>
          <c:order val="2"/>
          <c:tx>
            <c:strRef>
              <c:f>'SSO-Site -25 '!$B$24</c:f>
              <c:strCache>
                <c:ptCount val="1"/>
                <c:pt idx="0">
                  <c:v>Walking working surface</c:v>
                </c:pt>
              </c:strCache>
            </c:strRef>
          </c:tx>
          <c:invertIfNegative val="0"/>
          <c:cat>
            <c:strRef>
              <c:f>'SSO-Site -25 '!$F$4:$Q$4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'SSO-Site -25 '!$F$24:$Q$24</c:f>
              <c:numCache>
                <c:formatCode>General</c:formatCode>
                <c:ptCount val="12"/>
                <c:pt idx="2">
                  <c:v>1</c:v>
                </c:pt>
                <c:pt idx="4">
                  <c:v>1</c:v>
                </c:pt>
              </c:numCache>
            </c:numRef>
          </c:val>
          <c:extLst>
            <c:ext xmlns:c16="http://schemas.microsoft.com/office/drawing/2014/chart" uri="{C3380CC4-5D6E-409C-BE32-E72D297353CC}">
              <c16:uniqueId val="{00000001-60B2-483F-8E46-7D0C28BEC30E}"/>
            </c:ext>
          </c:extLst>
        </c:ser>
        <c:dLbls>
          <c:showLegendKey val="0"/>
          <c:showVal val="0"/>
          <c:showCatName val="0"/>
          <c:showSerName val="0"/>
          <c:showPercent val="0"/>
          <c:showBubbleSize val="0"/>
        </c:dLbls>
        <c:gapWidth val="150"/>
        <c:axId val="676495952"/>
        <c:axId val="676496344"/>
      </c:barChart>
      <c:lineChart>
        <c:grouping val="standard"/>
        <c:varyColors val="0"/>
        <c:ser>
          <c:idx val="0"/>
          <c:order val="0"/>
          <c:tx>
            <c:strRef>
              <c:f>'SSO-Site -25 '!$B$22</c:f>
              <c:strCache>
                <c:ptCount val="1"/>
                <c:pt idx="0">
                  <c:v>Vehicle company owned </c:v>
                </c:pt>
              </c:strCache>
            </c:strRef>
          </c:tx>
          <c:marker>
            <c:symbol val="none"/>
          </c:marker>
          <c:cat>
            <c:strRef>
              <c:f>'SSO-Site -25 '!$F$4:$Q$4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'SSO-Site -25 '!$F$22:$Q$22</c:f>
              <c:numCache>
                <c:formatCode>General</c:formatCode>
                <c:ptCount val="12"/>
              </c:numCache>
            </c:numRef>
          </c:val>
          <c:smooth val="0"/>
          <c:extLst>
            <c:ext xmlns:c16="http://schemas.microsoft.com/office/drawing/2014/chart" uri="{C3380CC4-5D6E-409C-BE32-E72D297353CC}">
              <c16:uniqueId val="{00000002-60B2-483F-8E46-7D0C28BEC30E}"/>
            </c:ext>
          </c:extLst>
        </c:ser>
        <c:dLbls>
          <c:showLegendKey val="0"/>
          <c:showVal val="0"/>
          <c:showCatName val="0"/>
          <c:showSerName val="0"/>
          <c:showPercent val="0"/>
          <c:showBubbleSize val="0"/>
        </c:dLbls>
        <c:marker val="1"/>
        <c:smooth val="0"/>
        <c:axId val="676495952"/>
        <c:axId val="676496344"/>
      </c:lineChart>
      <c:catAx>
        <c:axId val="676495952"/>
        <c:scaling>
          <c:orientation val="minMax"/>
        </c:scaling>
        <c:delete val="0"/>
        <c:axPos val="b"/>
        <c:numFmt formatCode="General" sourceLinked="0"/>
        <c:majorTickMark val="out"/>
        <c:minorTickMark val="none"/>
        <c:tickLblPos val="nextTo"/>
        <c:crossAx val="676496344"/>
        <c:crosses val="autoZero"/>
        <c:auto val="1"/>
        <c:lblAlgn val="ctr"/>
        <c:lblOffset val="100"/>
        <c:noMultiLvlLbl val="0"/>
      </c:catAx>
      <c:valAx>
        <c:axId val="676496344"/>
        <c:scaling>
          <c:orientation val="minMax"/>
        </c:scaling>
        <c:delete val="0"/>
        <c:axPos val="l"/>
        <c:majorGridlines/>
        <c:numFmt formatCode="General" sourceLinked="1"/>
        <c:majorTickMark val="out"/>
        <c:minorTickMark val="none"/>
        <c:tickLblPos val="nextTo"/>
        <c:crossAx val="676495952"/>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1"/>
          <c:order val="1"/>
          <c:tx>
            <c:strRef>
              <c:f>'SSO-Site -25 '!$B$26</c:f>
              <c:strCache>
                <c:ptCount val="1"/>
                <c:pt idx="0">
                  <c:v>Crane </c:v>
                </c:pt>
              </c:strCache>
            </c:strRef>
          </c:tx>
          <c:invertIfNegative val="0"/>
          <c:cat>
            <c:strRef>
              <c:f>'SSO-Site -25 '!$F$4:$Q$4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'SSO-Site -25 '!$F$26:$Q$26</c:f>
              <c:numCache>
                <c:formatCode>General</c:formatCode>
                <c:ptCount val="12"/>
              </c:numCache>
            </c:numRef>
          </c:val>
          <c:extLst>
            <c:ext xmlns:c16="http://schemas.microsoft.com/office/drawing/2014/chart" uri="{C3380CC4-5D6E-409C-BE32-E72D297353CC}">
              <c16:uniqueId val="{00000000-385B-4228-80D6-684AD5A2DCA6}"/>
            </c:ext>
          </c:extLst>
        </c:ser>
        <c:ser>
          <c:idx val="2"/>
          <c:order val="2"/>
          <c:tx>
            <c:strRef>
              <c:f>'SSO-Site -25 '!$B$27</c:f>
              <c:strCache>
                <c:ptCount val="1"/>
              </c:strCache>
            </c:strRef>
          </c:tx>
          <c:invertIfNegative val="0"/>
          <c:cat>
            <c:strRef>
              <c:f>'SSO-Site -25 '!$F$4:$Q$4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'SSO-Site -25 '!$F$27:$Q$27</c:f>
              <c:numCache>
                <c:formatCode>General</c:formatCode>
                <c:ptCount val="12"/>
              </c:numCache>
            </c:numRef>
          </c:val>
          <c:extLst>
            <c:ext xmlns:c16="http://schemas.microsoft.com/office/drawing/2014/chart" uri="{C3380CC4-5D6E-409C-BE32-E72D297353CC}">
              <c16:uniqueId val="{00000001-385B-4228-80D6-684AD5A2DCA6}"/>
            </c:ext>
          </c:extLst>
        </c:ser>
        <c:dLbls>
          <c:showLegendKey val="0"/>
          <c:showVal val="0"/>
          <c:showCatName val="0"/>
          <c:showSerName val="0"/>
          <c:showPercent val="0"/>
          <c:showBubbleSize val="0"/>
        </c:dLbls>
        <c:gapWidth val="150"/>
        <c:axId val="676497128"/>
        <c:axId val="676497520"/>
      </c:barChart>
      <c:lineChart>
        <c:grouping val="standard"/>
        <c:varyColors val="0"/>
        <c:ser>
          <c:idx val="0"/>
          <c:order val="0"/>
          <c:tx>
            <c:strRef>
              <c:f>'SSO-Site -25 '!$B$25</c:f>
              <c:strCache>
                <c:ptCount val="1"/>
                <c:pt idx="0">
                  <c:v>Work at elevation</c:v>
                </c:pt>
              </c:strCache>
            </c:strRef>
          </c:tx>
          <c:marker>
            <c:symbol val="none"/>
          </c:marker>
          <c:cat>
            <c:strRef>
              <c:f>'SSO-Site -25 '!$F$4:$Q$4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'SSO-Site -25 '!$F$25:$Q$25</c:f>
              <c:numCache>
                <c:formatCode>General</c:formatCode>
                <c:ptCount val="12"/>
              </c:numCache>
            </c:numRef>
          </c:val>
          <c:smooth val="0"/>
          <c:extLst>
            <c:ext xmlns:c16="http://schemas.microsoft.com/office/drawing/2014/chart" uri="{C3380CC4-5D6E-409C-BE32-E72D297353CC}">
              <c16:uniqueId val="{00000002-385B-4228-80D6-684AD5A2DCA6}"/>
            </c:ext>
          </c:extLst>
        </c:ser>
        <c:dLbls>
          <c:showLegendKey val="0"/>
          <c:showVal val="0"/>
          <c:showCatName val="0"/>
          <c:showSerName val="0"/>
          <c:showPercent val="0"/>
          <c:showBubbleSize val="0"/>
        </c:dLbls>
        <c:marker val="1"/>
        <c:smooth val="0"/>
        <c:axId val="676497128"/>
        <c:axId val="676497520"/>
      </c:lineChart>
      <c:catAx>
        <c:axId val="676497128"/>
        <c:scaling>
          <c:orientation val="minMax"/>
        </c:scaling>
        <c:delete val="0"/>
        <c:axPos val="b"/>
        <c:numFmt formatCode="General" sourceLinked="0"/>
        <c:majorTickMark val="out"/>
        <c:minorTickMark val="none"/>
        <c:tickLblPos val="nextTo"/>
        <c:crossAx val="676497520"/>
        <c:crosses val="autoZero"/>
        <c:auto val="1"/>
        <c:lblAlgn val="ctr"/>
        <c:lblOffset val="100"/>
        <c:noMultiLvlLbl val="0"/>
      </c:catAx>
      <c:valAx>
        <c:axId val="676497520"/>
        <c:scaling>
          <c:orientation val="minMax"/>
        </c:scaling>
        <c:delete val="0"/>
        <c:axPos val="l"/>
        <c:majorGridlines/>
        <c:numFmt formatCode="General" sourceLinked="1"/>
        <c:majorTickMark val="out"/>
        <c:minorTickMark val="none"/>
        <c:tickLblPos val="nextTo"/>
        <c:crossAx val="676497128"/>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lineChart>
        <c:grouping val="standard"/>
        <c:varyColors val="0"/>
        <c:ser>
          <c:idx val="0"/>
          <c:order val="0"/>
          <c:tx>
            <c:strRef>
              <c:f>'SSO-Site -25 '!$B$28</c:f>
              <c:strCache>
                <c:ptCount val="1"/>
              </c:strCache>
            </c:strRef>
          </c:tx>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'SSO-Site -25 '!$F$4:$Q$4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'SSO-Site -25 '!$F$28:$Q$28</c:f>
              <c:numCache>
                <c:formatCode>General</c:formatCode>
                <c:ptCount val="12"/>
              </c:numCache>
            </c:numRef>
          </c:val>
          <c:smooth val="0"/>
          <c:extLst>
            <c:ext xmlns:c16="http://schemas.microsoft.com/office/drawing/2014/chart" uri="{C3380CC4-5D6E-409C-BE32-E72D297353CC}">
              <c16:uniqueId val="{00000000-DC4D-4D44-84AB-CBF6DD0743B3}"/>
            </c:ext>
          </c:extLst>
        </c:ser>
        <c:dLbls>
          <c:showLegendKey val="0"/>
          <c:showVal val="0"/>
          <c:showCatName val="0"/>
          <c:showSerName val="0"/>
          <c:showPercent val="0"/>
          <c:showBubbleSize val="0"/>
        </c:dLbls>
        <c:marker val="1"/>
        <c:smooth val="0"/>
        <c:axId val="676498304"/>
        <c:axId val="676498696"/>
      </c:lineChart>
      <c:catAx>
        <c:axId val="676498304"/>
        <c:scaling>
          <c:orientation val="minMax"/>
        </c:scaling>
        <c:delete val="0"/>
        <c:axPos val="b"/>
        <c:numFmt formatCode="General" sourceLinked="0"/>
        <c:majorTickMark val="out"/>
        <c:minorTickMark val="none"/>
        <c:tickLblPos val="nextTo"/>
        <c:crossAx val="676498696"/>
        <c:crosses val="autoZero"/>
        <c:auto val="1"/>
        <c:lblAlgn val="ctr"/>
        <c:lblOffset val="100"/>
        <c:noMultiLvlLbl val="0"/>
      </c:catAx>
      <c:valAx>
        <c:axId val="676498696"/>
        <c:scaling>
          <c:orientation val="minMax"/>
        </c:scaling>
        <c:delete val="0"/>
        <c:axPos val="l"/>
        <c:majorGridlines/>
        <c:numFmt formatCode="General" sourceLinked="1"/>
        <c:majorTickMark val="out"/>
        <c:minorTickMark val="none"/>
        <c:tickLblPos val="nextTo"/>
        <c:crossAx val="676498304"/>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lineChart>
        <c:grouping val="standard"/>
        <c:varyColors val="0"/>
        <c:ser>
          <c:idx val="0"/>
          <c:order val="0"/>
          <c:tx>
            <c:strRef>
              <c:f>'SSO-Site -25 '!$B$31</c:f>
              <c:strCache>
                <c:ptCount val="1"/>
              </c:strCache>
            </c:strRef>
          </c:tx>
          <c:marker>
            <c:symbol val="none"/>
          </c:marker>
          <c:cat>
            <c:strRef>
              <c:f>'SSO-Site -25 '!$F$4:$Q$4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'SSO-Site -25 '!$F$31:$Q$31</c:f>
              <c:numCache>
                <c:formatCode>General</c:formatCode>
                <c:ptCount val="12"/>
              </c:numCache>
            </c:numRef>
          </c:val>
          <c:smooth val="0"/>
          <c:extLst>
            <c:ext xmlns:c16="http://schemas.microsoft.com/office/drawing/2014/chart" uri="{C3380CC4-5D6E-409C-BE32-E72D297353CC}">
              <c16:uniqueId val="{00000000-120A-4AD6-BF9E-F9B8C7052AD1}"/>
            </c:ext>
          </c:extLst>
        </c:ser>
        <c:dLbls>
          <c:showLegendKey val="0"/>
          <c:showVal val="0"/>
          <c:showCatName val="0"/>
          <c:showSerName val="0"/>
          <c:showPercent val="0"/>
          <c:showBubbleSize val="0"/>
        </c:dLbls>
        <c:smooth val="0"/>
        <c:axId val="676499480"/>
        <c:axId val="676499872"/>
      </c:lineChart>
      <c:catAx>
        <c:axId val="676499480"/>
        <c:scaling>
          <c:orientation val="minMax"/>
        </c:scaling>
        <c:delete val="0"/>
        <c:axPos val="b"/>
        <c:numFmt formatCode="General" sourceLinked="0"/>
        <c:majorTickMark val="out"/>
        <c:minorTickMark val="none"/>
        <c:tickLblPos val="nextTo"/>
        <c:crossAx val="676499872"/>
        <c:crosses val="autoZero"/>
        <c:auto val="1"/>
        <c:lblAlgn val="ctr"/>
        <c:lblOffset val="100"/>
        <c:noMultiLvlLbl val="0"/>
      </c:catAx>
      <c:valAx>
        <c:axId val="676499872"/>
        <c:scaling>
          <c:orientation val="minMax"/>
        </c:scaling>
        <c:delete val="0"/>
        <c:axPos val="l"/>
        <c:majorGridlines/>
        <c:numFmt formatCode="General" sourceLinked="1"/>
        <c:majorTickMark val="out"/>
        <c:minorTickMark val="none"/>
        <c:tickLblPos val="nextTo"/>
        <c:crossAx val="676499480"/>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1"/>
          <c:order val="1"/>
          <c:tx>
            <c:strRef>
              <c:f>'SSO-Site -25 '!$B$33</c:f>
              <c:strCache>
                <c:ptCount val="1"/>
              </c:strCache>
            </c:strRef>
          </c:tx>
          <c:invertIfNegative val="0"/>
          <c:cat>
            <c:strRef>
              <c:f>'SSO-Site -25 '!$F$4:$Q$4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'SSO-Site -25 '!$F$33:$Q$33</c:f>
              <c:numCache>
                <c:formatCode>General</c:formatCode>
                <c:ptCount val="12"/>
              </c:numCache>
            </c:numRef>
          </c:val>
          <c:extLst>
            <c:ext xmlns:c16="http://schemas.microsoft.com/office/drawing/2014/chart" uri="{C3380CC4-5D6E-409C-BE32-E72D297353CC}">
              <c16:uniqueId val="{00000000-2D9F-4D0A-8942-B7754417DB7E}"/>
            </c:ext>
          </c:extLst>
        </c:ser>
        <c:dLbls>
          <c:showLegendKey val="0"/>
          <c:showVal val="0"/>
          <c:showCatName val="0"/>
          <c:showSerName val="0"/>
          <c:showPercent val="0"/>
          <c:showBubbleSize val="0"/>
        </c:dLbls>
        <c:gapWidth val="150"/>
        <c:axId val="676500656"/>
        <c:axId val="676501048"/>
      </c:barChart>
      <c:lineChart>
        <c:grouping val="standard"/>
        <c:varyColors val="0"/>
        <c:ser>
          <c:idx val="0"/>
          <c:order val="0"/>
          <c:tx>
            <c:strRef>
              <c:f>'SSO-Site -25 '!$B$32</c:f>
              <c:strCache>
                <c:ptCount val="1"/>
              </c:strCache>
            </c:strRef>
          </c:tx>
          <c:cat>
            <c:strRef>
              <c:f>'SSO-Site -25 '!$F$4:$Q$4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'SSO-Site -25 '!$F$32:$Q$32</c:f>
              <c:numCache>
                <c:formatCode>General</c:formatCode>
                <c:ptCount val="12"/>
              </c:numCache>
            </c:numRef>
          </c:val>
          <c:smooth val="0"/>
          <c:extLst>
            <c:ext xmlns:c16="http://schemas.microsoft.com/office/drawing/2014/chart" uri="{C3380CC4-5D6E-409C-BE32-E72D297353CC}">
              <c16:uniqueId val="{00000001-2D9F-4D0A-8942-B7754417DB7E}"/>
            </c:ext>
          </c:extLst>
        </c:ser>
        <c:dLbls>
          <c:showLegendKey val="0"/>
          <c:showVal val="0"/>
          <c:showCatName val="0"/>
          <c:showSerName val="0"/>
          <c:showPercent val="0"/>
          <c:showBubbleSize val="0"/>
        </c:dLbls>
        <c:marker val="1"/>
        <c:smooth val="0"/>
        <c:axId val="676500656"/>
        <c:axId val="676501048"/>
      </c:lineChart>
      <c:catAx>
        <c:axId val="676500656"/>
        <c:scaling>
          <c:orientation val="minMax"/>
        </c:scaling>
        <c:delete val="0"/>
        <c:axPos val="b"/>
        <c:numFmt formatCode="General" sourceLinked="0"/>
        <c:majorTickMark val="out"/>
        <c:minorTickMark val="none"/>
        <c:tickLblPos val="nextTo"/>
        <c:crossAx val="676501048"/>
        <c:crosses val="autoZero"/>
        <c:auto val="1"/>
        <c:lblAlgn val="ctr"/>
        <c:lblOffset val="100"/>
        <c:noMultiLvlLbl val="0"/>
      </c:catAx>
      <c:valAx>
        <c:axId val="676501048"/>
        <c:scaling>
          <c:orientation val="minMax"/>
        </c:scaling>
        <c:delete val="0"/>
        <c:axPos val="l"/>
        <c:majorGridlines/>
        <c:numFmt formatCode="General" sourceLinked="1"/>
        <c:majorTickMark val="out"/>
        <c:minorTickMark val="none"/>
        <c:tickLblPos val="nextTo"/>
        <c:crossAx val="676500656"/>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Safety Observations</a:t>
            </a:r>
          </a:p>
          <a:p>
            <a:pPr>
              <a:defRPr/>
            </a:pPr>
            <a:r>
              <a:rPr lang="en-US" b="0" i="1"/>
              <a:t>2026</a:t>
            </a:r>
          </a:p>
        </c:rich>
      </c:tx>
      <c:overlay val="0"/>
    </c:title>
    <c:autoTitleDeleted val="0"/>
    <c:plotArea>
      <c:layout/>
      <c:barChart>
        <c:barDir val="col"/>
        <c:grouping val="clustered"/>
        <c:varyColors val="0"/>
        <c:ser>
          <c:idx val="0"/>
          <c:order val="0"/>
          <c:tx>
            <c:strRef>
              <c:f>'SSO-Site -25 '!$B$4:$C$4</c:f>
              <c:strCache>
                <c:ptCount val="1"/>
                <c:pt idx="0">
                  <c:v>Safe Act / Condition</c:v>
                </c:pt>
              </c:strCache>
            </c:strRef>
          </c:tx>
          <c:invertIfNegative val="0"/>
          <c:cat>
            <c:strRef>
              <c:f>'SSO-Site -25 '!$AL$4:$AL$24</c:f>
              <c:strCache>
                <c:ptCount val="21"/>
                <c:pt idx="0">
                  <c:v>Material handling or lifiting </c:v>
                </c:pt>
                <c:pt idx="1">
                  <c:v>Forklift</c:v>
                </c:pt>
                <c:pt idx="2">
                  <c:v>PPE</c:v>
                </c:pt>
                <c:pt idx="3">
                  <c:v>Housekeepng</c:v>
                </c:pt>
                <c:pt idx="4">
                  <c:v>Building</c:v>
                </c:pt>
                <c:pt idx="5">
                  <c:v>Chemical</c:v>
                </c:pt>
                <c:pt idx="6">
                  <c:v>Confined Space</c:v>
                </c:pt>
                <c:pt idx="7">
                  <c:v>Electrical</c:v>
                </c:pt>
                <c:pt idx="8">
                  <c:v>Ergonomics</c:v>
                </c:pt>
                <c:pt idx="9">
                  <c:v>Fire</c:v>
                </c:pt>
                <c:pt idx="10">
                  <c:v>LOTO</c:v>
                </c:pt>
                <c:pt idx="11">
                  <c:v>Material defect</c:v>
                </c:pt>
                <c:pt idx="12">
                  <c:v>Non work related </c:v>
                </c:pt>
                <c:pt idx="13">
                  <c:v>Respiratory protection</c:v>
                </c:pt>
                <c:pt idx="14">
                  <c:v>Slip, trip, fall</c:v>
                </c:pt>
                <c:pt idx="15">
                  <c:v>Stairs, ladders</c:v>
                </c:pt>
                <c:pt idx="16">
                  <c:v>Tools</c:v>
                </c:pt>
                <c:pt idx="17">
                  <c:v>Vehicle company owned </c:v>
                </c:pt>
                <c:pt idx="18">
                  <c:v>Vehicle not company owned </c:v>
                </c:pt>
                <c:pt idx="19">
                  <c:v>Walking working surface</c:v>
                </c:pt>
                <c:pt idx="20">
                  <c:v>Work at elevation</c:v>
                </c:pt>
              </c:strCache>
            </c:strRef>
          </c:cat>
          <c:val>
            <c:numRef>
              <c:f>'SSO-Site -25 '!$AL$4:$AL$24</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0-6625-4732-9E25-D1CFF3DF3055}"/>
            </c:ext>
          </c:extLst>
        </c:ser>
        <c:ser>
          <c:idx val="1"/>
          <c:order val="1"/>
          <c:tx>
            <c:strRef>
              <c:f>'SSO-Site -25 '!$T$4:$U$4</c:f>
              <c:strCache>
                <c:ptCount val="1"/>
                <c:pt idx="0">
                  <c:v>Unsafe Act/ Condition</c:v>
                </c:pt>
              </c:strCache>
            </c:strRef>
          </c:tx>
          <c:invertIfNegative val="0"/>
          <c:cat>
            <c:strRef>
              <c:f>'SSO-Site -25 '!$AL$4:$AL$24</c:f>
              <c:strCache>
                <c:ptCount val="21"/>
                <c:pt idx="0">
                  <c:v>Material handling or lifiting </c:v>
                </c:pt>
                <c:pt idx="1">
                  <c:v>Forklift</c:v>
                </c:pt>
                <c:pt idx="2">
                  <c:v>PPE</c:v>
                </c:pt>
                <c:pt idx="3">
                  <c:v>Housekeepng</c:v>
                </c:pt>
                <c:pt idx="4">
                  <c:v>Building</c:v>
                </c:pt>
                <c:pt idx="5">
                  <c:v>Chemical</c:v>
                </c:pt>
                <c:pt idx="6">
                  <c:v>Confined Space</c:v>
                </c:pt>
                <c:pt idx="7">
                  <c:v>Electrical</c:v>
                </c:pt>
                <c:pt idx="8">
                  <c:v>Ergonomics</c:v>
                </c:pt>
                <c:pt idx="9">
                  <c:v>Fire</c:v>
                </c:pt>
                <c:pt idx="10">
                  <c:v>LOTO</c:v>
                </c:pt>
                <c:pt idx="11">
                  <c:v>Material defect</c:v>
                </c:pt>
                <c:pt idx="12">
                  <c:v>Non work related </c:v>
                </c:pt>
                <c:pt idx="13">
                  <c:v>Respiratory protection</c:v>
                </c:pt>
                <c:pt idx="14">
                  <c:v>Slip, trip, fall</c:v>
                </c:pt>
                <c:pt idx="15">
                  <c:v>Stairs, ladders</c:v>
                </c:pt>
                <c:pt idx="16">
                  <c:v>Tools</c:v>
                </c:pt>
                <c:pt idx="17">
                  <c:v>Vehicle company owned </c:v>
                </c:pt>
                <c:pt idx="18">
                  <c:v>Vehicle not company owned </c:v>
                </c:pt>
                <c:pt idx="19">
                  <c:v>Walking working surface</c:v>
                </c:pt>
                <c:pt idx="20">
                  <c:v>Work at elevation</c:v>
                </c:pt>
              </c:strCache>
            </c:strRef>
          </c:cat>
          <c:val>
            <c:numRef>
              <c:f>'SSO-Site -25 '!$AO$4:$AO$24</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0-2325-41C7-9344-8BC2DFED1CE6}"/>
            </c:ext>
          </c:extLst>
        </c:ser>
        <c:dLbls>
          <c:showLegendKey val="0"/>
          <c:showVal val="0"/>
          <c:showCatName val="0"/>
          <c:showSerName val="0"/>
          <c:showPercent val="0"/>
          <c:showBubbleSize val="0"/>
        </c:dLbls>
        <c:gapWidth val="150"/>
        <c:axId val="676501832"/>
        <c:axId val="676502224"/>
      </c:barChart>
      <c:catAx>
        <c:axId val="676501832"/>
        <c:scaling>
          <c:orientation val="minMax"/>
        </c:scaling>
        <c:delete val="0"/>
        <c:axPos val="b"/>
        <c:numFmt formatCode="General" sourceLinked="0"/>
        <c:majorTickMark val="out"/>
        <c:minorTickMark val="none"/>
        <c:tickLblPos val="nextTo"/>
        <c:txPr>
          <a:bodyPr rot="2100000" vert="horz" anchor="t" anchorCtr="0"/>
          <a:lstStyle/>
          <a:p>
            <a:pPr>
              <a:defRPr/>
            </a:pPr>
            <a:endParaRPr lang="en-US"/>
          </a:p>
        </c:txPr>
        <c:crossAx val="676502224"/>
        <c:crosses val="autoZero"/>
        <c:auto val="1"/>
        <c:lblAlgn val="ctr"/>
        <c:lblOffset val="100"/>
        <c:noMultiLvlLbl val="0"/>
      </c:catAx>
      <c:valAx>
        <c:axId val="676502224"/>
        <c:scaling>
          <c:orientation val="minMax"/>
        </c:scaling>
        <c:delete val="0"/>
        <c:axPos val="l"/>
        <c:numFmt formatCode="General" sourceLinked="1"/>
        <c:majorTickMark val="out"/>
        <c:minorTickMark val="none"/>
        <c:tickLblPos val="nextTo"/>
        <c:crossAx val="676501832"/>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Act</a:t>
            </a:r>
            <a:r>
              <a:rPr lang="en-US" baseline="0"/>
              <a:t> or Condition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'SSO-Site -25 '!$D$40:$E$40</c:f>
              <c:strCache>
                <c:ptCount val="2"/>
                <c:pt idx="0">
                  <c:v>Safe Act</c:v>
                </c:pt>
              </c:strCache>
            </c:strRef>
          </c:tx>
          <c:spPr>
            <a:solidFill>
              <a:schemeClr val="accent1"/>
            </a:solidFill>
            <a:ln>
              <a:noFill/>
            </a:ln>
            <a:effectLst/>
          </c:spPr>
          <c:invertIfNegative val="0"/>
          <c:cat>
            <c:strRef>
              <c:extLst>
                <c:ext xmlns:c15="http://schemas.microsoft.com/office/drawing/2012/chart" uri="{02D57815-91ED-43cb-92C2-25804820EDAC}">
                  <c15:fullRef>
                    <c15:sqref>'SSO-Site -25 '!$F$39:$Q$39</c15:sqref>
                  </c15:fullRef>
                </c:ext>
              </c:extLst>
              <c:f>'SSO-Site -25 '!$J$39:$Q$39</c:f>
              <c:strCache>
                <c:ptCount val="8"/>
                <c:pt idx="0">
                  <c:v>May</c:v>
                </c:pt>
                <c:pt idx="1">
                  <c:v>Jun</c:v>
                </c:pt>
                <c:pt idx="2">
                  <c:v>Jul</c:v>
                </c:pt>
                <c:pt idx="3">
                  <c:v>Aug</c:v>
                </c:pt>
                <c:pt idx="4">
                  <c:v>Sep</c:v>
                </c:pt>
                <c:pt idx="5">
                  <c:v>Oct</c:v>
                </c:pt>
                <c:pt idx="6">
                  <c:v>Nov</c:v>
                </c:pt>
                <c:pt idx="7">
                  <c:v>Dec</c:v>
                </c:pt>
              </c:strCache>
            </c:strRef>
          </c:cat>
          <c:val>
            <c:numRef>
              <c:extLst>
                <c:ext xmlns:c15="http://schemas.microsoft.com/office/drawing/2012/chart" uri="{02D57815-91ED-43cb-92C2-25804820EDAC}">
                  <c15:fullRef>
                    <c15:sqref>'SSO-Site -25 '!$F$40:$Q$40</c15:sqref>
                  </c15:fullRef>
                </c:ext>
              </c:extLst>
              <c:f>'SSO-Site -25 '!$J$40:$Q$40</c:f>
              <c:numCache>
                <c:formatCode>General</c:formatCode>
                <c:ptCount val="8"/>
                <c:pt idx="0">
                  <c:v>7</c:v>
                </c:pt>
              </c:numCache>
            </c:numRef>
          </c:val>
          <c:extLst>
            <c:ext xmlns:c16="http://schemas.microsoft.com/office/drawing/2014/chart" uri="{C3380CC4-5D6E-409C-BE32-E72D297353CC}">
              <c16:uniqueId val="{00000000-A033-4D56-BB2F-48B8418983DC}"/>
            </c:ext>
          </c:extLst>
        </c:ser>
        <c:ser>
          <c:idx val="2"/>
          <c:order val="2"/>
          <c:tx>
            <c:strRef>
              <c:f>'SSO-Site -25 '!$D$42:$E$42</c:f>
              <c:strCache>
                <c:ptCount val="2"/>
                <c:pt idx="0">
                  <c:v>Unsafe Act</c:v>
                </c:pt>
              </c:strCache>
            </c:strRef>
          </c:tx>
          <c:spPr>
            <a:solidFill>
              <a:schemeClr val="accent3"/>
            </a:solidFill>
            <a:ln>
              <a:noFill/>
            </a:ln>
            <a:effectLst/>
          </c:spPr>
          <c:invertIfNegative val="0"/>
          <c:cat>
            <c:strRef>
              <c:extLst>
                <c:ext xmlns:c15="http://schemas.microsoft.com/office/drawing/2012/chart" uri="{02D57815-91ED-43cb-92C2-25804820EDAC}">
                  <c15:fullRef>
                    <c15:sqref>'SSO-Site -25 '!$F$39:$Q$39</c15:sqref>
                  </c15:fullRef>
                </c:ext>
              </c:extLst>
              <c:f>'SSO-Site -25 '!$J$39:$Q$39</c:f>
              <c:strCache>
                <c:ptCount val="8"/>
                <c:pt idx="0">
                  <c:v>May</c:v>
                </c:pt>
                <c:pt idx="1">
                  <c:v>Jun</c:v>
                </c:pt>
                <c:pt idx="2">
                  <c:v>Jul</c:v>
                </c:pt>
                <c:pt idx="3">
                  <c:v>Aug</c:v>
                </c:pt>
                <c:pt idx="4">
                  <c:v>Sep</c:v>
                </c:pt>
                <c:pt idx="5">
                  <c:v>Oct</c:v>
                </c:pt>
                <c:pt idx="6">
                  <c:v>Nov</c:v>
                </c:pt>
                <c:pt idx="7">
                  <c:v>Dec</c:v>
                </c:pt>
              </c:strCache>
            </c:strRef>
          </c:cat>
          <c:val>
            <c:numRef>
              <c:extLst>
                <c:ext xmlns:c15="http://schemas.microsoft.com/office/drawing/2012/chart" uri="{02D57815-91ED-43cb-92C2-25804820EDAC}">
                  <c15:fullRef>
                    <c15:sqref>'SSO-Site -25 '!$F$42:$Q$42</c15:sqref>
                  </c15:fullRef>
                </c:ext>
              </c:extLst>
              <c:f>'SSO-Site -25 '!$J$42:$Q$42</c:f>
              <c:numCache>
                <c:formatCode>General</c:formatCode>
                <c:ptCount val="8"/>
                <c:pt idx="0">
                  <c:v>0</c:v>
                </c:pt>
              </c:numCache>
            </c:numRef>
          </c:val>
          <c:extLst>
            <c:ext xmlns:c16="http://schemas.microsoft.com/office/drawing/2014/chart" uri="{C3380CC4-5D6E-409C-BE32-E72D297353CC}">
              <c16:uniqueId val="{00000002-A033-4D56-BB2F-48B8418983DC}"/>
            </c:ext>
          </c:extLst>
        </c:ser>
        <c:dLbls>
          <c:showLegendKey val="0"/>
          <c:showVal val="0"/>
          <c:showCatName val="0"/>
          <c:showSerName val="0"/>
          <c:showPercent val="0"/>
          <c:showBubbleSize val="0"/>
        </c:dLbls>
        <c:gapWidth val="219"/>
        <c:overlap val="-27"/>
        <c:axId val="926185456"/>
        <c:axId val="926185816"/>
      </c:barChart>
      <c:lineChart>
        <c:grouping val="standard"/>
        <c:varyColors val="0"/>
        <c:ser>
          <c:idx val="1"/>
          <c:order val="1"/>
          <c:tx>
            <c:strRef>
              <c:f>'SSO-Site -25 '!$D$41:$E$41</c:f>
              <c:strCache>
                <c:ptCount val="2"/>
                <c:pt idx="0">
                  <c:v>Safe Condition</c:v>
                </c:pt>
              </c:strCache>
            </c:strRef>
          </c:tx>
          <c:spPr>
            <a:ln w="28575" cap="rnd">
              <a:solidFill>
                <a:schemeClr val="accent2"/>
              </a:solidFill>
              <a:round/>
            </a:ln>
            <a:effectLst/>
          </c:spPr>
          <c:marker>
            <c:symbol val="none"/>
          </c:marker>
          <c:cat>
            <c:strRef>
              <c:extLst>
                <c:ext xmlns:c15="http://schemas.microsoft.com/office/drawing/2012/chart" uri="{02D57815-91ED-43cb-92C2-25804820EDAC}">
                  <c15:fullRef>
                    <c15:sqref>'SSO-Site -25 '!$F$39:$Q$39</c15:sqref>
                  </c15:fullRef>
                </c:ext>
              </c:extLst>
              <c:f>'SSO-Site -25 '!$J$39:$Q$39</c:f>
              <c:strCache>
                <c:ptCount val="8"/>
                <c:pt idx="0">
                  <c:v>May</c:v>
                </c:pt>
                <c:pt idx="1">
                  <c:v>Jun</c:v>
                </c:pt>
                <c:pt idx="2">
                  <c:v>Jul</c:v>
                </c:pt>
                <c:pt idx="3">
                  <c:v>Aug</c:v>
                </c:pt>
                <c:pt idx="4">
                  <c:v>Sep</c:v>
                </c:pt>
                <c:pt idx="5">
                  <c:v>Oct</c:v>
                </c:pt>
                <c:pt idx="6">
                  <c:v>Nov</c:v>
                </c:pt>
                <c:pt idx="7">
                  <c:v>Dec</c:v>
                </c:pt>
              </c:strCache>
            </c:strRef>
          </c:cat>
          <c:val>
            <c:numRef>
              <c:extLst>
                <c:ext xmlns:c15="http://schemas.microsoft.com/office/drawing/2012/chart" uri="{02D57815-91ED-43cb-92C2-25804820EDAC}">
                  <c15:fullRef>
                    <c15:sqref>'SSO-Site -25 '!$F$41:$Q$41</c15:sqref>
                  </c15:fullRef>
                </c:ext>
              </c:extLst>
              <c:f>'SSO-Site -25 '!$J$41:$Q$41</c:f>
              <c:numCache>
                <c:formatCode>General</c:formatCode>
                <c:ptCount val="8"/>
                <c:pt idx="0">
                  <c:v>1</c:v>
                </c:pt>
              </c:numCache>
            </c:numRef>
          </c:val>
          <c:smooth val="0"/>
          <c:extLst>
            <c:ext xmlns:c16="http://schemas.microsoft.com/office/drawing/2014/chart" uri="{C3380CC4-5D6E-409C-BE32-E72D297353CC}">
              <c16:uniqueId val="{00000001-A033-4D56-BB2F-48B8418983DC}"/>
            </c:ext>
          </c:extLst>
        </c:ser>
        <c:ser>
          <c:idx val="3"/>
          <c:order val="3"/>
          <c:tx>
            <c:strRef>
              <c:f>'SSO-Site -25 '!$D$43:$E$43</c:f>
              <c:strCache>
                <c:ptCount val="2"/>
                <c:pt idx="0">
                  <c:v>Unsafe Condition</c:v>
                </c:pt>
              </c:strCache>
            </c:strRef>
          </c:tx>
          <c:spPr>
            <a:ln w="28575" cap="rnd">
              <a:solidFill>
                <a:schemeClr val="accent4"/>
              </a:solidFill>
              <a:round/>
            </a:ln>
            <a:effectLst/>
          </c:spPr>
          <c:marker>
            <c:symbol val="none"/>
          </c:marker>
          <c:cat>
            <c:strRef>
              <c:extLst>
                <c:ext xmlns:c15="http://schemas.microsoft.com/office/drawing/2012/chart" uri="{02D57815-91ED-43cb-92C2-25804820EDAC}">
                  <c15:fullRef>
                    <c15:sqref>'SSO-Site -25 '!$F$39:$Q$39</c15:sqref>
                  </c15:fullRef>
                </c:ext>
              </c:extLst>
              <c:f>'SSO-Site -25 '!$J$39:$Q$39</c:f>
              <c:strCache>
                <c:ptCount val="8"/>
                <c:pt idx="0">
                  <c:v>May</c:v>
                </c:pt>
                <c:pt idx="1">
                  <c:v>Jun</c:v>
                </c:pt>
                <c:pt idx="2">
                  <c:v>Jul</c:v>
                </c:pt>
                <c:pt idx="3">
                  <c:v>Aug</c:v>
                </c:pt>
                <c:pt idx="4">
                  <c:v>Sep</c:v>
                </c:pt>
                <c:pt idx="5">
                  <c:v>Oct</c:v>
                </c:pt>
                <c:pt idx="6">
                  <c:v>Nov</c:v>
                </c:pt>
                <c:pt idx="7">
                  <c:v>Dec</c:v>
                </c:pt>
              </c:strCache>
            </c:strRef>
          </c:cat>
          <c:val>
            <c:numRef>
              <c:extLst>
                <c:ext xmlns:c15="http://schemas.microsoft.com/office/drawing/2012/chart" uri="{02D57815-91ED-43cb-92C2-25804820EDAC}">
                  <c15:fullRef>
                    <c15:sqref>'SSO-Site -25 '!$F$43:$Q$43</c15:sqref>
                  </c15:fullRef>
                </c:ext>
              </c:extLst>
              <c:f>'SSO-Site -25 '!$J$43:$Q$43</c:f>
              <c:numCache>
                <c:formatCode>General</c:formatCode>
                <c:ptCount val="8"/>
                <c:pt idx="0">
                  <c:v>14</c:v>
                </c:pt>
              </c:numCache>
            </c:numRef>
          </c:val>
          <c:smooth val="0"/>
          <c:extLst>
            <c:ext xmlns:c16="http://schemas.microsoft.com/office/drawing/2014/chart" uri="{C3380CC4-5D6E-409C-BE32-E72D297353CC}">
              <c16:uniqueId val="{00000003-A033-4D56-BB2F-48B8418983DC}"/>
            </c:ext>
          </c:extLst>
        </c:ser>
        <c:dLbls>
          <c:showLegendKey val="0"/>
          <c:showVal val="0"/>
          <c:showCatName val="0"/>
          <c:showSerName val="0"/>
          <c:showPercent val="0"/>
          <c:showBubbleSize val="0"/>
        </c:dLbls>
        <c:marker val="1"/>
        <c:smooth val="0"/>
        <c:axId val="873363888"/>
        <c:axId val="873359208"/>
      </c:lineChart>
      <c:catAx>
        <c:axId val="926185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185816"/>
        <c:crosses val="autoZero"/>
        <c:auto val="1"/>
        <c:lblAlgn val="ctr"/>
        <c:lblOffset val="100"/>
        <c:noMultiLvlLbl val="0"/>
      </c:catAx>
      <c:valAx>
        <c:axId val="9261858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185456"/>
        <c:crosses val="autoZero"/>
        <c:crossBetween val="between"/>
      </c:valAx>
      <c:valAx>
        <c:axId val="87335920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363888"/>
        <c:crosses val="max"/>
        <c:crossBetween val="between"/>
      </c:valAx>
      <c:catAx>
        <c:axId val="873363888"/>
        <c:scaling>
          <c:orientation val="minMax"/>
        </c:scaling>
        <c:delete val="1"/>
        <c:axPos val="b"/>
        <c:numFmt formatCode="General" sourceLinked="1"/>
        <c:majorTickMark val="out"/>
        <c:minorTickMark val="none"/>
        <c:tickLblPos val="nextTo"/>
        <c:crossAx val="87335920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Safety</a:t>
            </a:r>
            <a:r>
              <a:rPr lang="en-US" baseline="0"/>
              <a:t> Observation </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D62-42C9-AAD7-DF0DD8D211B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D62-42C9-AAD7-DF0DD8D211B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D62-42C9-AAD7-DF0DD8D211B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D62-42C9-AAD7-DF0DD8D211B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'PPT Work'!$A$1:$A$4</c:f>
              <c:strCache>
                <c:ptCount val="4"/>
                <c:pt idx="0">
                  <c:v>Safe Act</c:v>
                </c:pt>
                <c:pt idx="1">
                  <c:v>Safe Condition</c:v>
                </c:pt>
                <c:pt idx="2">
                  <c:v>Unsafe Act</c:v>
                </c:pt>
                <c:pt idx="3">
                  <c:v>Unsafe Condition</c:v>
                </c:pt>
              </c:strCache>
            </c:strRef>
          </c:cat>
          <c:val>
            <c:numRef>
              <c:f>'PPT Work'!$C$1:$C$4</c:f>
              <c:numCache>
                <c:formatCode>General</c:formatCode>
                <c:ptCount val="4"/>
                <c:pt idx="0">
                  <c:v>29</c:v>
                </c:pt>
                <c:pt idx="1">
                  <c:v>8</c:v>
                </c:pt>
                <c:pt idx="2">
                  <c:v>12</c:v>
                </c:pt>
                <c:pt idx="3">
                  <c:v>67</c:v>
                </c:pt>
              </c:numCache>
            </c:numRef>
          </c:val>
          <c:extLst>
            <c:ext xmlns:c16="http://schemas.microsoft.com/office/drawing/2014/chart" uri="{C3380CC4-5D6E-409C-BE32-E72D297353CC}">
              <c16:uniqueId val="{00000008-AD62-42C9-AAD7-DF0DD8D211B0}"/>
            </c:ext>
          </c:extLst>
        </c:ser>
        <c:ser>
          <c:idx val="1"/>
          <c:order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A-AD62-42C9-AAD7-DF0DD8D211B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AD62-42C9-AAD7-DF0DD8D211B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AD62-42C9-AAD7-DF0DD8D211B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AD62-42C9-AAD7-DF0DD8D211B0}"/>
              </c:ext>
            </c:extLst>
          </c:dPt>
          <c:cat>
            <c:strRef>
              <c:f>'PPT Work'!$A$1:$A$4</c:f>
              <c:strCache>
                <c:ptCount val="4"/>
                <c:pt idx="0">
                  <c:v>Safe Act</c:v>
                </c:pt>
                <c:pt idx="1">
                  <c:v>Safe Condition</c:v>
                </c:pt>
                <c:pt idx="2">
                  <c:v>Unsafe Act</c:v>
                </c:pt>
                <c:pt idx="3">
                  <c:v>Unsafe Condition</c:v>
                </c:pt>
              </c:strCache>
            </c:strRef>
          </c:cat>
          <c:val>
            <c:numRef>
              <c:f>'PPT Work'!$G$5:$G$8</c:f>
              <c:numCache>
                <c:formatCode>General</c:formatCode>
                <c:ptCount val="4"/>
              </c:numCache>
            </c:numRef>
          </c:val>
          <c:extLst>
            <c:ext xmlns:c16="http://schemas.microsoft.com/office/drawing/2014/chart" uri="{C3380CC4-5D6E-409C-BE32-E72D297353CC}">
              <c16:uniqueId val="{00000011-AD62-42C9-AAD7-DF0DD8D211B0}"/>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Safe</a:t>
            </a:r>
            <a:r>
              <a:rPr lang="en-US" baseline="0"/>
              <a:t> vs. Unsafe Observations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'PPT Work'!$A$25:$B$25</c:f>
              <c:strCache>
                <c:ptCount val="2"/>
                <c:pt idx="0">
                  <c:v>Safe Observation</c:v>
                </c:pt>
              </c:strCache>
            </c:strRef>
          </c:tx>
          <c:spPr>
            <a:ln w="28575" cap="rnd">
              <a:solidFill>
                <a:schemeClr val="bg2">
                  <a:lumMod val="50000"/>
                </a:schemeClr>
              </a:solidFill>
              <a:round/>
            </a:ln>
            <a:effectLst/>
          </c:spPr>
          <c:marker>
            <c:symbol val="circle"/>
            <c:size val="5"/>
            <c:spPr>
              <a:solidFill>
                <a:schemeClr val="bg2">
                  <a:lumMod val="50000"/>
                </a:schemeClr>
              </a:solidFill>
              <a:ln w="9525">
                <a:solidFill>
                  <a:schemeClr val="bg2">
                    <a:lumMod val="50000"/>
                  </a:schemeClr>
                </a:solidFill>
              </a:ln>
              <a:effectLst/>
            </c:spPr>
          </c:marker>
          <c:dLbls>
            <c:dLbl>
              <c:idx val="0"/>
              <c:delete val="1"/>
              <c:extLst>
                <c:ext xmlns:c15="http://schemas.microsoft.com/office/drawing/2012/chart" uri="{CE6537A1-D6FC-4f65-9D91-7224C49458BB}"/>
                <c:ext xmlns:c16="http://schemas.microsoft.com/office/drawing/2014/chart" uri="{C3380CC4-5D6E-409C-BE32-E72D297353CC}">
                  <c16:uniqueId val="{00000000-2B71-4C22-9B67-7A4DAD1D2EFE}"/>
                </c:ext>
              </c:extLst>
            </c:dLbl>
            <c:dLbl>
              <c:idx val="1"/>
              <c:delete val="1"/>
              <c:extLst>
                <c:ext xmlns:c15="http://schemas.microsoft.com/office/drawing/2012/chart" uri="{CE6537A1-D6FC-4f65-9D91-7224C49458BB}"/>
                <c:ext xmlns:c16="http://schemas.microsoft.com/office/drawing/2014/chart" uri="{C3380CC4-5D6E-409C-BE32-E72D297353CC}">
                  <c16:uniqueId val="{00000001-2B71-4C22-9B67-7A4DAD1D2EFE}"/>
                </c:ext>
              </c:extLst>
            </c:dLbl>
            <c:dLbl>
              <c:idx val="2"/>
              <c:delete val="1"/>
              <c:extLst>
                <c:ext xmlns:c15="http://schemas.microsoft.com/office/drawing/2012/chart" uri="{CE6537A1-D6FC-4f65-9D91-7224C49458BB}"/>
                <c:ext xmlns:c16="http://schemas.microsoft.com/office/drawing/2014/chart" uri="{C3380CC4-5D6E-409C-BE32-E72D297353CC}">
                  <c16:uniqueId val="{00000002-2B71-4C22-9B67-7A4DAD1D2EFE}"/>
                </c:ext>
              </c:extLst>
            </c:dLbl>
            <c:dLbl>
              <c:idx val="3"/>
              <c:delete val="1"/>
              <c:extLst>
                <c:ext xmlns:c15="http://schemas.microsoft.com/office/drawing/2012/chart" uri="{CE6537A1-D6FC-4f65-9D91-7224C49458BB}"/>
                <c:ext xmlns:c16="http://schemas.microsoft.com/office/drawing/2014/chart" uri="{C3380CC4-5D6E-409C-BE32-E72D297353CC}">
                  <c16:uniqueId val="{00000003-2B71-4C22-9B67-7A4DAD1D2EFE}"/>
                </c:ext>
              </c:extLst>
            </c:dLbl>
            <c:dLbl>
              <c:idx val="4"/>
              <c:delete val="1"/>
              <c:extLst>
                <c:ext xmlns:c15="http://schemas.microsoft.com/office/drawing/2012/chart" uri="{CE6537A1-D6FC-4f65-9D91-7224C49458BB}"/>
                <c:ext xmlns:c16="http://schemas.microsoft.com/office/drawing/2014/chart" uri="{C3380CC4-5D6E-409C-BE32-E72D297353CC}">
                  <c16:uniqueId val="{00000004-2B71-4C22-9B67-7A4DAD1D2EFE}"/>
                </c:ext>
              </c:extLst>
            </c:dLbl>
            <c:dLbl>
              <c:idx val="5"/>
              <c:delete val="1"/>
              <c:extLst>
                <c:ext xmlns:c15="http://schemas.microsoft.com/office/drawing/2012/chart" uri="{CE6537A1-D6FC-4f65-9D91-7224C49458BB}"/>
                <c:ext xmlns:c16="http://schemas.microsoft.com/office/drawing/2014/chart" uri="{C3380CC4-5D6E-409C-BE32-E72D297353CC}">
                  <c16:uniqueId val="{00000000-C7EE-460E-AADF-3FA043AA6741}"/>
                </c:ext>
              </c:extLst>
            </c:dLbl>
            <c:dLbl>
              <c:idx val="6"/>
              <c:delete val="1"/>
              <c:extLst>
                <c:ext xmlns:c15="http://schemas.microsoft.com/office/drawing/2012/chart" uri="{CE6537A1-D6FC-4f65-9D91-7224C49458BB}"/>
                <c:ext xmlns:c16="http://schemas.microsoft.com/office/drawing/2014/chart" uri="{C3380CC4-5D6E-409C-BE32-E72D297353CC}">
                  <c16:uniqueId val="{00000000-EAD0-44C7-B89F-8886B82F81C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'PPT Work'!$C$24:$N$24</c15:sqref>
                  </c15:fullRef>
                </c:ext>
              </c:extLst>
              <c:f>'PPT Work'!$G$24:$N$24</c:f>
              <c:strCache>
                <c:ptCount val="8"/>
                <c:pt idx="0">
                  <c:v>May</c:v>
                </c:pt>
                <c:pt idx="1">
                  <c:v>Jun</c:v>
                </c:pt>
                <c:pt idx="2">
                  <c:v>Jul</c:v>
                </c:pt>
                <c:pt idx="3">
                  <c:v>Aug</c:v>
                </c:pt>
                <c:pt idx="4">
                  <c:v>Sep</c:v>
                </c:pt>
                <c:pt idx="5">
                  <c:v>Oct</c:v>
                </c:pt>
                <c:pt idx="6">
                  <c:v>Nov</c:v>
                </c:pt>
                <c:pt idx="7">
                  <c:v>Dec</c:v>
                </c:pt>
              </c:strCache>
            </c:strRef>
          </c:cat>
          <c:val>
            <c:numRef>
              <c:extLst>
                <c:ext xmlns:c15="http://schemas.microsoft.com/office/drawing/2012/chart" uri="{02D57815-91ED-43cb-92C2-25804820EDAC}">
                  <c15:fullRef>
                    <c15:sqref>'PPT Work'!$C$25:$N$25</c15:sqref>
                  </c15:fullRef>
                </c:ext>
              </c:extLst>
              <c:f>'PPT Work'!$G$25:$N$25</c:f>
              <c:numCache>
                <c:formatCode>General</c:formatCode>
                <c:ptCount val="8"/>
                <c:pt idx="0">
                  <c:v>37</c:v>
                </c:pt>
              </c:numCache>
            </c:numRef>
          </c:val>
          <c:smooth val="0"/>
          <c:extLst>
            <c:ext xmlns:c16="http://schemas.microsoft.com/office/drawing/2014/chart" uri="{C3380CC4-5D6E-409C-BE32-E72D297353CC}">
              <c16:uniqueId val="{00000005-2B71-4C22-9B67-7A4DAD1D2EFE}"/>
            </c:ext>
          </c:extLst>
        </c:ser>
        <c:ser>
          <c:idx val="1"/>
          <c:order val="1"/>
          <c:tx>
            <c:strRef>
              <c:f>'PPT Work'!$A$26:$B$26</c:f>
              <c:strCache>
                <c:ptCount val="2"/>
                <c:pt idx="0">
                  <c:v>Unsafe Observation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Lbl>
              <c:idx val="0"/>
              <c:delete val="1"/>
              <c:extLst>
                <c:ext xmlns:c15="http://schemas.microsoft.com/office/drawing/2012/chart" uri="{CE6537A1-D6FC-4f65-9D91-7224C49458BB}"/>
                <c:ext xmlns:c16="http://schemas.microsoft.com/office/drawing/2014/chart" uri="{C3380CC4-5D6E-409C-BE32-E72D297353CC}">
                  <c16:uniqueId val="{00000006-2B71-4C22-9B67-7A4DAD1D2EFE}"/>
                </c:ext>
              </c:extLst>
            </c:dLbl>
            <c:dLbl>
              <c:idx val="1"/>
              <c:delete val="1"/>
              <c:extLst>
                <c:ext xmlns:c15="http://schemas.microsoft.com/office/drawing/2012/chart" uri="{CE6537A1-D6FC-4f65-9D91-7224C49458BB}"/>
                <c:ext xmlns:c16="http://schemas.microsoft.com/office/drawing/2014/chart" uri="{C3380CC4-5D6E-409C-BE32-E72D297353CC}">
                  <c16:uniqueId val="{00000007-2B71-4C22-9B67-7A4DAD1D2EFE}"/>
                </c:ext>
              </c:extLst>
            </c:dLbl>
            <c:dLbl>
              <c:idx val="2"/>
              <c:delete val="1"/>
              <c:extLst>
                <c:ext xmlns:c15="http://schemas.microsoft.com/office/drawing/2012/chart" uri="{CE6537A1-D6FC-4f65-9D91-7224C49458BB}"/>
                <c:ext xmlns:c16="http://schemas.microsoft.com/office/drawing/2014/chart" uri="{C3380CC4-5D6E-409C-BE32-E72D297353CC}">
                  <c16:uniqueId val="{00000008-2B71-4C22-9B67-7A4DAD1D2EFE}"/>
                </c:ext>
              </c:extLst>
            </c:dLbl>
            <c:dLbl>
              <c:idx val="3"/>
              <c:delete val="1"/>
              <c:extLst>
                <c:ext xmlns:c15="http://schemas.microsoft.com/office/drawing/2012/chart" uri="{CE6537A1-D6FC-4f65-9D91-7224C49458BB}"/>
                <c:ext xmlns:c16="http://schemas.microsoft.com/office/drawing/2014/chart" uri="{C3380CC4-5D6E-409C-BE32-E72D297353CC}">
                  <c16:uniqueId val="{00000009-2B71-4C22-9B67-7A4DAD1D2EFE}"/>
                </c:ext>
              </c:extLst>
            </c:dLbl>
            <c:dLbl>
              <c:idx val="4"/>
              <c:delete val="1"/>
              <c:extLst>
                <c:ext xmlns:c15="http://schemas.microsoft.com/office/drawing/2012/chart" uri="{CE6537A1-D6FC-4f65-9D91-7224C49458BB}"/>
                <c:ext xmlns:c16="http://schemas.microsoft.com/office/drawing/2014/chart" uri="{C3380CC4-5D6E-409C-BE32-E72D297353CC}">
                  <c16:uniqueId val="{0000000A-2B71-4C22-9B67-7A4DAD1D2EFE}"/>
                </c:ext>
              </c:extLst>
            </c:dLbl>
            <c:dLbl>
              <c:idx val="5"/>
              <c:delete val="1"/>
              <c:extLst>
                <c:ext xmlns:c15="http://schemas.microsoft.com/office/drawing/2012/chart" uri="{CE6537A1-D6FC-4f65-9D91-7224C49458BB}"/>
                <c:ext xmlns:c16="http://schemas.microsoft.com/office/drawing/2014/chart" uri="{C3380CC4-5D6E-409C-BE32-E72D297353CC}">
                  <c16:uniqueId val="{00000001-C7EE-460E-AADF-3FA043AA6741}"/>
                </c:ext>
              </c:extLst>
            </c:dLbl>
            <c:dLbl>
              <c:idx val="6"/>
              <c:delete val="1"/>
              <c:extLst>
                <c:ext xmlns:c15="http://schemas.microsoft.com/office/drawing/2012/chart" uri="{CE6537A1-D6FC-4f65-9D91-7224C49458BB}"/>
                <c:ext xmlns:c16="http://schemas.microsoft.com/office/drawing/2014/chart" uri="{C3380CC4-5D6E-409C-BE32-E72D297353CC}">
                  <c16:uniqueId val="{00000001-EAD0-44C7-B89F-8886B82F81C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'PPT Work'!$C$24:$N$24</c15:sqref>
                  </c15:fullRef>
                </c:ext>
              </c:extLst>
              <c:f>'PPT Work'!$G$24:$N$24</c:f>
              <c:strCache>
                <c:ptCount val="8"/>
                <c:pt idx="0">
                  <c:v>May</c:v>
                </c:pt>
                <c:pt idx="1">
                  <c:v>Jun</c:v>
                </c:pt>
                <c:pt idx="2">
                  <c:v>Jul</c:v>
                </c:pt>
                <c:pt idx="3">
                  <c:v>Aug</c:v>
                </c:pt>
                <c:pt idx="4">
                  <c:v>Sep</c:v>
                </c:pt>
                <c:pt idx="5">
                  <c:v>Oct</c:v>
                </c:pt>
                <c:pt idx="6">
                  <c:v>Nov</c:v>
                </c:pt>
                <c:pt idx="7">
                  <c:v>Dec</c:v>
                </c:pt>
              </c:strCache>
            </c:strRef>
          </c:cat>
          <c:val>
            <c:numRef>
              <c:extLst>
                <c:ext xmlns:c15="http://schemas.microsoft.com/office/drawing/2012/chart" uri="{02D57815-91ED-43cb-92C2-25804820EDAC}">
                  <c15:fullRef>
                    <c15:sqref>'PPT Work'!$C$26:$N$26</c15:sqref>
                  </c15:fullRef>
                </c:ext>
              </c:extLst>
              <c:f>'PPT Work'!$G$26:$N$26</c:f>
              <c:numCache>
                <c:formatCode>General</c:formatCode>
                <c:ptCount val="8"/>
                <c:pt idx="0">
                  <c:v>79</c:v>
                </c:pt>
              </c:numCache>
            </c:numRef>
          </c:val>
          <c:smooth val="0"/>
          <c:extLst>
            <c:ext xmlns:c16="http://schemas.microsoft.com/office/drawing/2014/chart" uri="{C3380CC4-5D6E-409C-BE32-E72D297353CC}">
              <c16:uniqueId val="{0000000B-2B71-4C22-9B67-7A4DAD1D2EFE}"/>
            </c:ext>
          </c:extLst>
        </c:ser>
        <c:dLbls>
          <c:showLegendKey val="0"/>
          <c:showVal val="0"/>
          <c:showCatName val="0"/>
          <c:showSerName val="0"/>
          <c:showPercent val="0"/>
          <c:showBubbleSize val="0"/>
        </c:dLbls>
        <c:marker val="1"/>
        <c:smooth val="0"/>
        <c:axId val="577144520"/>
        <c:axId val="577157120"/>
      </c:lineChart>
      <c:catAx>
        <c:axId val="577144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157120"/>
        <c:crosses val="autoZero"/>
        <c:auto val="1"/>
        <c:lblAlgn val="ctr"/>
        <c:lblOffset val="100"/>
        <c:noMultiLvlLbl val="0"/>
      </c:catAx>
      <c:valAx>
        <c:axId val="5771571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144520"/>
        <c:crosses val="autoZero"/>
        <c:crossBetween val="between"/>
      </c:valAx>
      <c:spPr>
        <a:noFill/>
        <a:ln>
          <a:noFill/>
        </a:ln>
        <a:effectLst/>
      </c:spPr>
    </c:plotArea>
    <c:legend>
      <c:legendPos val="b"/>
      <c:overlay val="0"/>
      <c:spPr>
        <a:noFill/>
        <a:ln>
          <a:solidFill>
            <a:schemeClr val="bg2">
              <a:lumMod val="50000"/>
            </a:schemeClr>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Unsafe</a:t>
            </a:r>
            <a:r>
              <a:rPr lang="en-US" baseline="0"/>
              <a:t> Observations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'PPT Work'!$A$46:$D$46</c:f>
              <c:strCache>
                <c:ptCount val="4"/>
                <c:pt idx="0">
                  <c:v>Chemical</c:v>
                </c:pt>
              </c:strCache>
            </c:strRef>
          </c:tx>
          <c:spPr>
            <a:solidFill>
              <a:schemeClr val="accent2"/>
            </a:solidFill>
            <a:ln>
              <a:noFill/>
            </a:ln>
            <a:effectLst/>
          </c:spPr>
          <c:invertIfNegative val="0"/>
          <c:cat>
            <c:strRef>
              <c:extLst>
                <c:ext xmlns:c15="http://schemas.microsoft.com/office/drawing/2012/chart" uri="{02D57815-91ED-43cb-92C2-25804820EDAC}">
                  <c15:fullRef>
                    <c15:sqref>'PPT Work'!$E$44:$P$44</c15:sqref>
                  </c15:fullRef>
                </c:ext>
              </c:extLst>
              <c:f>'PPT Work'!$I$44:$O$44</c:f>
              <c:strCache>
                <c:ptCount val="7"/>
                <c:pt idx="0">
                  <c:v>May</c:v>
                </c:pt>
                <c:pt idx="1">
                  <c:v>Jun</c:v>
                </c:pt>
                <c:pt idx="2">
                  <c:v>Jul</c:v>
                </c:pt>
                <c:pt idx="3">
                  <c:v>Aug</c:v>
                </c:pt>
                <c:pt idx="4">
                  <c:v>Sep</c:v>
                </c:pt>
                <c:pt idx="5">
                  <c:v>Oct</c:v>
                </c:pt>
                <c:pt idx="6">
                  <c:v>Nov</c:v>
                </c:pt>
              </c:strCache>
            </c:strRef>
          </c:cat>
          <c:val>
            <c:numRef>
              <c:extLst>
                <c:ext xmlns:c15="http://schemas.microsoft.com/office/drawing/2012/chart" uri="{02D57815-91ED-43cb-92C2-25804820EDAC}">
                  <c15:fullRef>
                    <c15:sqref>'PPT Work'!$E$46:$P$46</c15:sqref>
                  </c15:fullRef>
                </c:ext>
              </c:extLst>
              <c:f>'PPT Work'!$I$46:$O$46</c:f>
              <c:numCache>
                <c:formatCode>General</c:formatCode>
                <c:ptCount val="7"/>
              </c:numCache>
            </c:numRef>
          </c:val>
          <c:extLst>
            <c:ext xmlns:c16="http://schemas.microsoft.com/office/drawing/2014/chart" uri="{C3380CC4-5D6E-409C-BE32-E72D297353CC}">
              <c16:uniqueId val="{00000000-A50A-4418-9144-A70F0D830051}"/>
            </c:ext>
          </c:extLst>
        </c:ser>
        <c:ser>
          <c:idx val="2"/>
          <c:order val="2"/>
          <c:tx>
            <c:strRef>
              <c:f>'PPT Work'!$A$47:$D$47</c:f>
              <c:strCache>
                <c:ptCount val="4"/>
                <c:pt idx="0">
                  <c:v>Confined Space</c:v>
                </c:pt>
              </c:strCache>
            </c:strRef>
          </c:tx>
          <c:spPr>
            <a:solidFill>
              <a:schemeClr val="accent3"/>
            </a:solidFill>
            <a:ln>
              <a:noFill/>
            </a:ln>
            <a:effectLst/>
          </c:spPr>
          <c:invertIfNegative val="0"/>
          <c:cat>
            <c:strRef>
              <c:extLst>
                <c:ext xmlns:c15="http://schemas.microsoft.com/office/drawing/2012/chart" uri="{02D57815-91ED-43cb-92C2-25804820EDAC}">
                  <c15:fullRef>
                    <c15:sqref>'PPT Work'!$E$44:$P$44</c15:sqref>
                  </c15:fullRef>
                </c:ext>
              </c:extLst>
              <c:f>'PPT Work'!$I$44:$O$44</c:f>
              <c:strCache>
                <c:ptCount val="7"/>
                <c:pt idx="0">
                  <c:v>May</c:v>
                </c:pt>
                <c:pt idx="1">
                  <c:v>Jun</c:v>
                </c:pt>
                <c:pt idx="2">
                  <c:v>Jul</c:v>
                </c:pt>
                <c:pt idx="3">
                  <c:v>Aug</c:v>
                </c:pt>
                <c:pt idx="4">
                  <c:v>Sep</c:v>
                </c:pt>
                <c:pt idx="5">
                  <c:v>Oct</c:v>
                </c:pt>
                <c:pt idx="6">
                  <c:v>Nov</c:v>
                </c:pt>
              </c:strCache>
            </c:strRef>
          </c:cat>
          <c:val>
            <c:numRef>
              <c:extLst>
                <c:ext xmlns:c15="http://schemas.microsoft.com/office/drawing/2012/chart" uri="{02D57815-91ED-43cb-92C2-25804820EDAC}">
                  <c15:fullRef>
                    <c15:sqref>'PPT Work'!$E$47:$P$47</c15:sqref>
                  </c15:fullRef>
                </c:ext>
              </c:extLst>
              <c:f>'PPT Work'!$I$47:$O$47</c:f>
              <c:numCache>
                <c:formatCode>General</c:formatCode>
                <c:ptCount val="7"/>
              </c:numCache>
            </c:numRef>
          </c:val>
          <c:extLst>
            <c:ext xmlns:c16="http://schemas.microsoft.com/office/drawing/2014/chart" uri="{C3380CC4-5D6E-409C-BE32-E72D297353CC}">
              <c16:uniqueId val="{00000001-A50A-4418-9144-A70F0D830051}"/>
            </c:ext>
          </c:extLst>
        </c:ser>
        <c:ser>
          <c:idx val="3"/>
          <c:order val="3"/>
          <c:tx>
            <c:strRef>
              <c:f>'PPT Work'!$A$48:$D$48</c:f>
              <c:strCache>
                <c:ptCount val="4"/>
                <c:pt idx="0">
                  <c:v>Electrical</c:v>
                </c:pt>
              </c:strCache>
            </c:strRef>
          </c:tx>
          <c:spPr>
            <a:solidFill>
              <a:schemeClr val="accent4"/>
            </a:solidFill>
            <a:ln>
              <a:noFill/>
            </a:ln>
            <a:effectLst/>
          </c:spPr>
          <c:invertIfNegative val="0"/>
          <c:cat>
            <c:strRef>
              <c:extLst>
                <c:ext xmlns:c15="http://schemas.microsoft.com/office/drawing/2012/chart" uri="{02D57815-91ED-43cb-92C2-25804820EDAC}">
                  <c15:fullRef>
                    <c15:sqref>'PPT Work'!$E$44:$P$44</c15:sqref>
                  </c15:fullRef>
                </c:ext>
              </c:extLst>
              <c:f>'PPT Work'!$I$44:$O$44</c:f>
              <c:strCache>
                <c:ptCount val="7"/>
                <c:pt idx="0">
                  <c:v>May</c:v>
                </c:pt>
                <c:pt idx="1">
                  <c:v>Jun</c:v>
                </c:pt>
                <c:pt idx="2">
                  <c:v>Jul</c:v>
                </c:pt>
                <c:pt idx="3">
                  <c:v>Aug</c:v>
                </c:pt>
                <c:pt idx="4">
                  <c:v>Sep</c:v>
                </c:pt>
                <c:pt idx="5">
                  <c:v>Oct</c:v>
                </c:pt>
                <c:pt idx="6">
                  <c:v>Nov</c:v>
                </c:pt>
              </c:strCache>
            </c:strRef>
          </c:cat>
          <c:val>
            <c:numRef>
              <c:extLst>
                <c:ext xmlns:c15="http://schemas.microsoft.com/office/drawing/2012/chart" uri="{02D57815-91ED-43cb-92C2-25804820EDAC}">
                  <c15:fullRef>
                    <c15:sqref>'PPT Work'!$E$48:$P$48</c15:sqref>
                  </c15:fullRef>
                </c:ext>
              </c:extLst>
              <c:f>'PPT Work'!$I$48:$O$48</c:f>
              <c:numCache>
                <c:formatCode>General</c:formatCode>
                <c:ptCount val="7"/>
                <c:pt idx="0">
                  <c:v>1</c:v>
                </c:pt>
              </c:numCache>
            </c:numRef>
          </c:val>
          <c:extLst>
            <c:ext xmlns:c16="http://schemas.microsoft.com/office/drawing/2014/chart" uri="{C3380CC4-5D6E-409C-BE32-E72D297353CC}">
              <c16:uniqueId val="{00000002-A50A-4418-9144-A70F0D830051}"/>
            </c:ext>
          </c:extLst>
        </c:ser>
        <c:ser>
          <c:idx val="5"/>
          <c:order val="5"/>
          <c:tx>
            <c:strRef>
              <c:f>'PPT Work'!$A$50:$D$50</c:f>
              <c:strCache>
                <c:ptCount val="4"/>
                <c:pt idx="0">
                  <c:v>Fire</c:v>
                </c:pt>
              </c:strCache>
            </c:strRef>
          </c:tx>
          <c:spPr>
            <a:solidFill>
              <a:schemeClr val="accent6"/>
            </a:solidFill>
            <a:ln>
              <a:noFill/>
            </a:ln>
            <a:effectLst/>
          </c:spPr>
          <c:invertIfNegative val="0"/>
          <c:cat>
            <c:strRef>
              <c:extLst>
                <c:ext xmlns:c15="http://schemas.microsoft.com/office/drawing/2012/chart" uri="{02D57815-91ED-43cb-92C2-25804820EDAC}">
                  <c15:fullRef>
                    <c15:sqref>'PPT Work'!$E$44:$P$44</c15:sqref>
                  </c15:fullRef>
                </c:ext>
              </c:extLst>
              <c:f>'PPT Work'!$I$44:$O$44</c:f>
              <c:strCache>
                <c:ptCount val="7"/>
                <c:pt idx="0">
                  <c:v>May</c:v>
                </c:pt>
                <c:pt idx="1">
                  <c:v>Jun</c:v>
                </c:pt>
                <c:pt idx="2">
                  <c:v>Jul</c:v>
                </c:pt>
                <c:pt idx="3">
                  <c:v>Aug</c:v>
                </c:pt>
                <c:pt idx="4">
                  <c:v>Sep</c:v>
                </c:pt>
                <c:pt idx="5">
                  <c:v>Oct</c:v>
                </c:pt>
                <c:pt idx="6">
                  <c:v>Nov</c:v>
                </c:pt>
              </c:strCache>
            </c:strRef>
          </c:cat>
          <c:val>
            <c:numRef>
              <c:extLst>
                <c:ext xmlns:c15="http://schemas.microsoft.com/office/drawing/2012/chart" uri="{02D57815-91ED-43cb-92C2-25804820EDAC}">
                  <c15:fullRef>
                    <c15:sqref>'PPT Work'!$E$50:$P$50</c15:sqref>
                  </c15:fullRef>
                </c:ext>
              </c:extLst>
              <c:f>'PPT Work'!$I$50:$O$50</c:f>
              <c:numCache>
                <c:formatCode>General</c:formatCode>
                <c:ptCount val="7"/>
                <c:pt idx="0">
                  <c:v>1</c:v>
                </c:pt>
              </c:numCache>
            </c:numRef>
          </c:val>
          <c:extLst>
            <c:ext xmlns:c16="http://schemas.microsoft.com/office/drawing/2014/chart" uri="{C3380CC4-5D6E-409C-BE32-E72D297353CC}">
              <c16:uniqueId val="{00000003-A50A-4418-9144-A70F0D830051}"/>
            </c:ext>
          </c:extLst>
        </c:ser>
        <c:ser>
          <c:idx val="6"/>
          <c:order val="6"/>
          <c:tx>
            <c:strRef>
              <c:f>'PPT Work'!$A$51:$D$51</c:f>
              <c:strCache>
                <c:ptCount val="4"/>
                <c:pt idx="0">
                  <c:v>Forklift</c:v>
                </c:pt>
              </c:strCache>
            </c:strRef>
          </c:tx>
          <c:spPr>
            <a:solidFill>
              <a:schemeClr val="accent1">
                <a:lumMod val="60000"/>
              </a:schemeClr>
            </a:solidFill>
            <a:ln>
              <a:noFill/>
            </a:ln>
            <a:effectLst/>
          </c:spPr>
          <c:invertIfNegative val="0"/>
          <c:cat>
            <c:strRef>
              <c:extLst>
                <c:ext xmlns:c15="http://schemas.microsoft.com/office/drawing/2012/chart" uri="{02D57815-91ED-43cb-92C2-25804820EDAC}">
                  <c15:fullRef>
                    <c15:sqref>'PPT Work'!$E$44:$P$44</c15:sqref>
                  </c15:fullRef>
                </c:ext>
              </c:extLst>
              <c:f>'PPT Work'!$I$44:$O$44</c:f>
              <c:strCache>
                <c:ptCount val="7"/>
                <c:pt idx="0">
                  <c:v>May</c:v>
                </c:pt>
                <c:pt idx="1">
                  <c:v>Jun</c:v>
                </c:pt>
                <c:pt idx="2">
                  <c:v>Jul</c:v>
                </c:pt>
                <c:pt idx="3">
                  <c:v>Aug</c:v>
                </c:pt>
                <c:pt idx="4">
                  <c:v>Sep</c:v>
                </c:pt>
                <c:pt idx="5">
                  <c:v>Oct</c:v>
                </c:pt>
                <c:pt idx="6">
                  <c:v>Nov</c:v>
                </c:pt>
              </c:strCache>
            </c:strRef>
          </c:cat>
          <c:val>
            <c:numRef>
              <c:extLst>
                <c:ext xmlns:c15="http://schemas.microsoft.com/office/drawing/2012/chart" uri="{02D57815-91ED-43cb-92C2-25804820EDAC}">
                  <c15:fullRef>
                    <c15:sqref>'PPT Work'!$E$51:$P$51</c15:sqref>
                  </c15:fullRef>
                </c:ext>
              </c:extLst>
              <c:f>'PPT Work'!$I$51:$O$51</c:f>
              <c:numCache>
                <c:formatCode>General</c:formatCode>
                <c:ptCount val="7"/>
              </c:numCache>
            </c:numRef>
          </c:val>
          <c:extLst>
            <c:ext xmlns:c16="http://schemas.microsoft.com/office/drawing/2014/chart" uri="{C3380CC4-5D6E-409C-BE32-E72D297353CC}">
              <c16:uniqueId val="{00000004-A50A-4418-9144-A70F0D830051}"/>
            </c:ext>
          </c:extLst>
        </c:ser>
        <c:ser>
          <c:idx val="7"/>
          <c:order val="7"/>
          <c:tx>
            <c:strRef>
              <c:f>'PPT Work'!$A$52:$D$52</c:f>
              <c:strCache>
                <c:ptCount val="4"/>
                <c:pt idx="0">
                  <c:v>Housekeepng</c:v>
                </c:pt>
              </c:strCache>
            </c:strRef>
          </c:tx>
          <c:spPr>
            <a:solidFill>
              <a:schemeClr val="accent2">
                <a:lumMod val="60000"/>
              </a:schemeClr>
            </a:solidFill>
            <a:ln>
              <a:noFill/>
            </a:ln>
            <a:effectLst/>
          </c:spPr>
          <c:invertIfNegative val="0"/>
          <c:cat>
            <c:strRef>
              <c:extLst>
                <c:ext xmlns:c15="http://schemas.microsoft.com/office/drawing/2012/chart" uri="{02D57815-91ED-43cb-92C2-25804820EDAC}">
                  <c15:fullRef>
                    <c15:sqref>'PPT Work'!$E$44:$P$44</c15:sqref>
                  </c15:fullRef>
                </c:ext>
              </c:extLst>
              <c:f>'PPT Work'!$I$44:$O$44</c:f>
              <c:strCache>
                <c:ptCount val="7"/>
                <c:pt idx="0">
                  <c:v>May</c:v>
                </c:pt>
                <c:pt idx="1">
                  <c:v>Jun</c:v>
                </c:pt>
                <c:pt idx="2">
                  <c:v>Jul</c:v>
                </c:pt>
                <c:pt idx="3">
                  <c:v>Aug</c:v>
                </c:pt>
                <c:pt idx="4">
                  <c:v>Sep</c:v>
                </c:pt>
                <c:pt idx="5">
                  <c:v>Oct</c:v>
                </c:pt>
                <c:pt idx="6">
                  <c:v>Nov</c:v>
                </c:pt>
              </c:strCache>
            </c:strRef>
          </c:cat>
          <c:val>
            <c:numRef>
              <c:extLst>
                <c:ext xmlns:c15="http://schemas.microsoft.com/office/drawing/2012/chart" uri="{02D57815-91ED-43cb-92C2-25804820EDAC}">
                  <c15:fullRef>
                    <c15:sqref>'PPT Work'!$E$52:$P$52</c15:sqref>
                  </c15:fullRef>
                </c:ext>
              </c:extLst>
              <c:f>'PPT Work'!$I$52:$O$52</c:f>
              <c:numCache>
                <c:formatCode>General</c:formatCode>
                <c:ptCount val="7"/>
                <c:pt idx="0">
                  <c:v>2</c:v>
                </c:pt>
              </c:numCache>
            </c:numRef>
          </c:val>
          <c:extLst>
            <c:ext xmlns:c16="http://schemas.microsoft.com/office/drawing/2014/chart" uri="{C3380CC4-5D6E-409C-BE32-E72D297353CC}">
              <c16:uniqueId val="{00000005-A50A-4418-9144-A70F0D830051}"/>
            </c:ext>
          </c:extLst>
        </c:ser>
        <c:dLbls>
          <c:showLegendKey val="0"/>
          <c:showVal val="0"/>
          <c:showCatName val="0"/>
          <c:showSerName val="0"/>
          <c:showPercent val="0"/>
          <c:showBubbleSize val="0"/>
        </c:dLbls>
        <c:gapWidth val="219"/>
        <c:axId val="765021896"/>
        <c:axId val="765021176"/>
      </c:barChart>
      <c:lineChart>
        <c:grouping val="stacked"/>
        <c:varyColors val="0"/>
        <c:ser>
          <c:idx val="0"/>
          <c:order val="0"/>
          <c:tx>
            <c:strRef>
              <c:f>'PPT Work'!$A$45:$D$45</c:f>
              <c:strCache>
                <c:ptCount val="4"/>
                <c:pt idx="0">
                  <c:v>Building</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extLst>
                <c:ext xmlns:c15="http://schemas.microsoft.com/office/drawing/2012/chart" uri="{02D57815-91ED-43cb-92C2-25804820EDAC}">
                  <c15:fullRef>
                    <c15:sqref>'PPT Work'!$E$44:$P$44</c15:sqref>
                  </c15:fullRef>
                </c:ext>
              </c:extLst>
              <c:f>'PPT Work'!$I$44:$O$44</c:f>
              <c:strCache>
                <c:ptCount val="7"/>
                <c:pt idx="0">
                  <c:v>May</c:v>
                </c:pt>
                <c:pt idx="1">
                  <c:v>Jun</c:v>
                </c:pt>
                <c:pt idx="2">
                  <c:v>Jul</c:v>
                </c:pt>
                <c:pt idx="3">
                  <c:v>Aug</c:v>
                </c:pt>
                <c:pt idx="4">
                  <c:v>Sep</c:v>
                </c:pt>
                <c:pt idx="5">
                  <c:v>Oct</c:v>
                </c:pt>
                <c:pt idx="6">
                  <c:v>Nov</c:v>
                </c:pt>
              </c:strCache>
            </c:strRef>
          </c:cat>
          <c:val>
            <c:numRef>
              <c:extLst>
                <c:ext xmlns:c15="http://schemas.microsoft.com/office/drawing/2012/chart" uri="{02D57815-91ED-43cb-92C2-25804820EDAC}">
                  <c15:fullRef>
                    <c15:sqref>'PPT Work'!$E$45:$P$45</c15:sqref>
                  </c15:fullRef>
                </c:ext>
              </c:extLst>
              <c:f>'PPT Work'!$I$45:$O$45</c:f>
              <c:numCache>
                <c:formatCode>General</c:formatCode>
                <c:ptCount val="7"/>
                <c:pt idx="0">
                  <c:v>2</c:v>
                </c:pt>
              </c:numCache>
            </c:numRef>
          </c:val>
          <c:smooth val="0"/>
          <c:extLst>
            <c:ext xmlns:c16="http://schemas.microsoft.com/office/drawing/2014/chart" uri="{C3380CC4-5D6E-409C-BE32-E72D297353CC}">
              <c16:uniqueId val="{00000006-A50A-4418-9144-A70F0D830051}"/>
            </c:ext>
          </c:extLst>
        </c:ser>
        <c:ser>
          <c:idx val="4"/>
          <c:order val="4"/>
          <c:tx>
            <c:strRef>
              <c:f>'PPT Work'!$A$49:$D$49</c:f>
              <c:strCache>
                <c:ptCount val="4"/>
                <c:pt idx="0">
                  <c:v>Ergonomics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extLst>
                <c:ext xmlns:c15="http://schemas.microsoft.com/office/drawing/2012/chart" uri="{02D57815-91ED-43cb-92C2-25804820EDAC}">
                  <c15:fullRef>
                    <c15:sqref>'PPT Work'!$E$44:$P$44</c15:sqref>
                  </c15:fullRef>
                </c:ext>
              </c:extLst>
              <c:f>'PPT Work'!$I$44:$O$44</c:f>
              <c:strCache>
                <c:ptCount val="7"/>
                <c:pt idx="0">
                  <c:v>May</c:v>
                </c:pt>
                <c:pt idx="1">
                  <c:v>Jun</c:v>
                </c:pt>
                <c:pt idx="2">
                  <c:v>Jul</c:v>
                </c:pt>
                <c:pt idx="3">
                  <c:v>Aug</c:v>
                </c:pt>
                <c:pt idx="4">
                  <c:v>Sep</c:v>
                </c:pt>
                <c:pt idx="5">
                  <c:v>Oct</c:v>
                </c:pt>
                <c:pt idx="6">
                  <c:v>Nov</c:v>
                </c:pt>
              </c:strCache>
            </c:strRef>
          </c:cat>
          <c:val>
            <c:numRef>
              <c:extLst>
                <c:ext xmlns:c15="http://schemas.microsoft.com/office/drawing/2012/chart" uri="{02D57815-91ED-43cb-92C2-25804820EDAC}">
                  <c15:fullRef>
                    <c15:sqref>'PPT Work'!$E$49:$P$49</c15:sqref>
                  </c15:fullRef>
                </c:ext>
              </c:extLst>
              <c:f>'PPT Work'!$I$49:$O$49</c:f>
              <c:numCache>
                <c:formatCode>General</c:formatCode>
                <c:ptCount val="7"/>
              </c:numCache>
            </c:numRef>
          </c:val>
          <c:smooth val="0"/>
          <c:extLst>
            <c:ext xmlns:c16="http://schemas.microsoft.com/office/drawing/2014/chart" uri="{C3380CC4-5D6E-409C-BE32-E72D297353CC}">
              <c16:uniqueId val="{00000007-A50A-4418-9144-A70F0D830051}"/>
            </c:ext>
          </c:extLst>
        </c:ser>
        <c:dLbls>
          <c:showLegendKey val="0"/>
          <c:showVal val="0"/>
          <c:showCatName val="0"/>
          <c:showSerName val="0"/>
          <c:showPercent val="0"/>
          <c:showBubbleSize val="0"/>
        </c:dLbls>
        <c:marker val="1"/>
        <c:smooth val="0"/>
        <c:axId val="765021896"/>
        <c:axId val="765021176"/>
      </c:lineChart>
      <c:catAx>
        <c:axId val="765021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021176"/>
        <c:crosses val="autoZero"/>
        <c:auto val="1"/>
        <c:lblAlgn val="ctr"/>
        <c:lblOffset val="100"/>
        <c:noMultiLvlLbl val="0"/>
      </c:catAx>
      <c:valAx>
        <c:axId val="7650211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021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Safe</a:t>
            </a:r>
            <a:r>
              <a:rPr lang="en-US" baseline="0"/>
              <a:t> Observations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2"/>
          <c:tx>
            <c:strRef>
              <c:f>'PPT Work'!$A$74:$H$74</c:f>
              <c:strCache>
                <c:ptCount val="8"/>
                <c:pt idx="0">
                  <c:v>Confined Space</c:v>
                </c:pt>
              </c:strCache>
            </c:strRef>
          </c:tx>
          <c:spPr>
            <a:solidFill>
              <a:schemeClr val="accent3"/>
            </a:solidFill>
            <a:ln>
              <a:noFill/>
            </a:ln>
            <a:effectLst/>
          </c:spPr>
          <c:invertIfNegative val="0"/>
          <c:cat>
            <c:strRef>
              <c:extLst>
                <c:ext xmlns:c15="http://schemas.microsoft.com/office/drawing/2012/chart" uri="{02D57815-91ED-43cb-92C2-25804820EDAC}">
                  <c15:fullRef>
                    <c15:sqref>'PPT Work'!$I$71:$P$71</c15:sqref>
                  </c15:fullRef>
                </c:ext>
              </c:extLst>
              <c:f>'PPT Work'!$I$71:$O$71</c:f>
              <c:strCache>
                <c:ptCount val="7"/>
                <c:pt idx="0">
                  <c:v>May</c:v>
                </c:pt>
                <c:pt idx="1">
                  <c:v>Jun</c:v>
                </c:pt>
                <c:pt idx="2">
                  <c:v>Jul</c:v>
                </c:pt>
                <c:pt idx="3">
                  <c:v>Aug</c:v>
                </c:pt>
                <c:pt idx="4">
                  <c:v>Sep</c:v>
                </c:pt>
                <c:pt idx="5">
                  <c:v>Oct</c:v>
                </c:pt>
                <c:pt idx="6">
                  <c:v>Nov</c:v>
                </c:pt>
              </c:strCache>
            </c:strRef>
          </c:cat>
          <c:val>
            <c:numRef>
              <c:extLst>
                <c:ext xmlns:c15="http://schemas.microsoft.com/office/drawing/2012/chart" uri="{02D57815-91ED-43cb-92C2-25804820EDAC}">
                  <c15:fullRef>
                    <c15:sqref>'PPT Work'!$I$74:$P$74</c15:sqref>
                  </c15:fullRef>
                </c:ext>
              </c:extLst>
              <c:f>'PPT Work'!$I$74:$O$74</c:f>
              <c:numCache>
                <c:formatCode>General</c:formatCode>
                <c:ptCount val="7"/>
              </c:numCache>
            </c:numRef>
          </c:val>
          <c:extLst>
            <c:ext xmlns:c16="http://schemas.microsoft.com/office/drawing/2014/chart" uri="{C3380CC4-5D6E-409C-BE32-E72D297353CC}">
              <c16:uniqueId val="{00000000-D910-409D-B106-81AE337F03B5}"/>
            </c:ext>
          </c:extLst>
        </c:ser>
        <c:ser>
          <c:idx val="3"/>
          <c:order val="3"/>
          <c:tx>
            <c:strRef>
              <c:f>'PPT Work'!$A$75:$H$75</c:f>
              <c:strCache>
                <c:ptCount val="8"/>
                <c:pt idx="0">
                  <c:v>Electrical</c:v>
                </c:pt>
                <c:pt idx="7">
                  <c:v>3</c:v>
                </c:pt>
              </c:strCache>
            </c:strRef>
          </c:tx>
          <c:spPr>
            <a:solidFill>
              <a:schemeClr val="accent4"/>
            </a:solidFill>
            <a:ln>
              <a:noFill/>
            </a:ln>
            <a:effectLst/>
          </c:spPr>
          <c:invertIfNegative val="0"/>
          <c:cat>
            <c:strRef>
              <c:extLst>
                <c:ext xmlns:c15="http://schemas.microsoft.com/office/drawing/2012/chart" uri="{02D57815-91ED-43cb-92C2-25804820EDAC}">
                  <c15:fullRef>
                    <c15:sqref>'PPT Work'!$I$71:$P$71</c15:sqref>
                  </c15:fullRef>
                </c:ext>
              </c:extLst>
              <c:f>'PPT Work'!$I$71:$O$71</c:f>
              <c:strCache>
                <c:ptCount val="7"/>
                <c:pt idx="0">
                  <c:v>May</c:v>
                </c:pt>
                <c:pt idx="1">
                  <c:v>Jun</c:v>
                </c:pt>
                <c:pt idx="2">
                  <c:v>Jul</c:v>
                </c:pt>
                <c:pt idx="3">
                  <c:v>Aug</c:v>
                </c:pt>
                <c:pt idx="4">
                  <c:v>Sep</c:v>
                </c:pt>
                <c:pt idx="5">
                  <c:v>Oct</c:v>
                </c:pt>
                <c:pt idx="6">
                  <c:v>Nov</c:v>
                </c:pt>
              </c:strCache>
            </c:strRef>
          </c:cat>
          <c:val>
            <c:numRef>
              <c:extLst>
                <c:ext xmlns:c15="http://schemas.microsoft.com/office/drawing/2012/chart" uri="{02D57815-91ED-43cb-92C2-25804820EDAC}">
                  <c15:fullRef>
                    <c15:sqref>'PPT Work'!$I$75:$P$75</c15:sqref>
                  </c15:fullRef>
                </c:ext>
              </c:extLst>
              <c:f>'PPT Work'!$I$75:$O$75</c:f>
              <c:numCache>
                <c:formatCode>General</c:formatCode>
                <c:ptCount val="7"/>
                <c:pt idx="0">
                  <c:v>1</c:v>
                </c:pt>
              </c:numCache>
            </c:numRef>
          </c:val>
          <c:extLst>
            <c:ext xmlns:c16="http://schemas.microsoft.com/office/drawing/2014/chart" uri="{C3380CC4-5D6E-409C-BE32-E72D297353CC}">
              <c16:uniqueId val="{00000001-D910-409D-B106-81AE337F03B5}"/>
            </c:ext>
          </c:extLst>
        </c:ser>
        <c:ser>
          <c:idx val="4"/>
          <c:order val="4"/>
          <c:tx>
            <c:strRef>
              <c:f>'PPT Work'!$A$76:$H$76</c:f>
              <c:strCache>
                <c:ptCount val="8"/>
                <c:pt idx="0">
                  <c:v>Ergonomics</c:v>
                </c:pt>
              </c:strCache>
            </c:strRef>
          </c:tx>
          <c:spPr>
            <a:solidFill>
              <a:schemeClr val="accent5"/>
            </a:solidFill>
            <a:ln>
              <a:noFill/>
            </a:ln>
            <a:effectLst/>
          </c:spPr>
          <c:invertIfNegative val="0"/>
          <c:cat>
            <c:strRef>
              <c:extLst>
                <c:ext xmlns:c15="http://schemas.microsoft.com/office/drawing/2012/chart" uri="{02D57815-91ED-43cb-92C2-25804820EDAC}">
                  <c15:fullRef>
                    <c15:sqref>'PPT Work'!$I$71:$P$71</c15:sqref>
                  </c15:fullRef>
                </c:ext>
              </c:extLst>
              <c:f>'PPT Work'!$I$71:$O$71</c:f>
              <c:strCache>
                <c:ptCount val="7"/>
                <c:pt idx="0">
                  <c:v>May</c:v>
                </c:pt>
                <c:pt idx="1">
                  <c:v>Jun</c:v>
                </c:pt>
                <c:pt idx="2">
                  <c:v>Jul</c:v>
                </c:pt>
                <c:pt idx="3">
                  <c:v>Aug</c:v>
                </c:pt>
                <c:pt idx="4">
                  <c:v>Sep</c:v>
                </c:pt>
                <c:pt idx="5">
                  <c:v>Oct</c:v>
                </c:pt>
                <c:pt idx="6">
                  <c:v>Nov</c:v>
                </c:pt>
              </c:strCache>
            </c:strRef>
          </c:cat>
          <c:val>
            <c:numRef>
              <c:extLst>
                <c:ext xmlns:c15="http://schemas.microsoft.com/office/drawing/2012/chart" uri="{02D57815-91ED-43cb-92C2-25804820EDAC}">
                  <c15:fullRef>
                    <c15:sqref>'PPT Work'!$I$76:$P$76</c15:sqref>
                  </c15:fullRef>
                </c:ext>
              </c:extLst>
              <c:f>'PPT Work'!$I$76:$O$76</c:f>
              <c:numCache>
                <c:formatCode>General</c:formatCode>
                <c:ptCount val="7"/>
              </c:numCache>
            </c:numRef>
          </c:val>
          <c:extLst>
            <c:ext xmlns:c16="http://schemas.microsoft.com/office/drawing/2014/chart" uri="{C3380CC4-5D6E-409C-BE32-E72D297353CC}">
              <c16:uniqueId val="{00000002-D910-409D-B106-81AE337F03B5}"/>
            </c:ext>
          </c:extLst>
        </c:ser>
        <c:ser>
          <c:idx val="5"/>
          <c:order val="5"/>
          <c:tx>
            <c:strRef>
              <c:f>'PPT Work'!$A$77:$H$77</c:f>
              <c:strCache>
                <c:ptCount val="8"/>
                <c:pt idx="0">
                  <c:v>Fire</c:v>
                </c:pt>
                <c:pt idx="7">
                  <c:v>1</c:v>
                </c:pt>
              </c:strCache>
            </c:strRef>
          </c:tx>
          <c:spPr>
            <a:solidFill>
              <a:schemeClr val="accent6"/>
            </a:solidFill>
            <a:ln>
              <a:noFill/>
            </a:ln>
            <a:effectLst/>
          </c:spPr>
          <c:invertIfNegative val="0"/>
          <c:cat>
            <c:strRef>
              <c:extLst>
                <c:ext xmlns:c15="http://schemas.microsoft.com/office/drawing/2012/chart" uri="{02D57815-91ED-43cb-92C2-25804820EDAC}">
                  <c15:fullRef>
                    <c15:sqref>'PPT Work'!$I$71:$P$71</c15:sqref>
                  </c15:fullRef>
                </c:ext>
              </c:extLst>
              <c:f>'PPT Work'!$I$71:$O$71</c:f>
              <c:strCache>
                <c:ptCount val="7"/>
                <c:pt idx="0">
                  <c:v>May</c:v>
                </c:pt>
                <c:pt idx="1">
                  <c:v>Jun</c:v>
                </c:pt>
                <c:pt idx="2">
                  <c:v>Jul</c:v>
                </c:pt>
                <c:pt idx="3">
                  <c:v>Aug</c:v>
                </c:pt>
                <c:pt idx="4">
                  <c:v>Sep</c:v>
                </c:pt>
                <c:pt idx="5">
                  <c:v>Oct</c:v>
                </c:pt>
                <c:pt idx="6">
                  <c:v>Nov</c:v>
                </c:pt>
              </c:strCache>
            </c:strRef>
          </c:cat>
          <c:val>
            <c:numRef>
              <c:extLst>
                <c:ext xmlns:c15="http://schemas.microsoft.com/office/drawing/2012/chart" uri="{02D57815-91ED-43cb-92C2-25804820EDAC}">
                  <c15:fullRef>
                    <c15:sqref>'PPT Work'!$I$77:$P$77</c15:sqref>
                  </c15:fullRef>
                </c:ext>
              </c:extLst>
              <c:f>'PPT Work'!$I$77:$O$77</c:f>
              <c:numCache>
                <c:formatCode>General</c:formatCode>
                <c:ptCount val="7"/>
                <c:pt idx="0">
                  <c:v>1</c:v>
                </c:pt>
              </c:numCache>
            </c:numRef>
          </c:val>
          <c:extLst>
            <c:ext xmlns:c16="http://schemas.microsoft.com/office/drawing/2014/chart" uri="{C3380CC4-5D6E-409C-BE32-E72D297353CC}">
              <c16:uniqueId val="{00000003-D910-409D-B106-81AE337F03B5}"/>
            </c:ext>
          </c:extLst>
        </c:ser>
        <c:ser>
          <c:idx val="6"/>
          <c:order val="6"/>
          <c:tx>
            <c:strRef>
              <c:f>'PPT Work'!$A$78:$H$78</c:f>
              <c:strCache>
                <c:ptCount val="8"/>
                <c:pt idx="0">
                  <c:v>Forklift</c:v>
                </c:pt>
                <c:pt idx="5">
                  <c:v>2</c:v>
                </c:pt>
                <c:pt idx="6">
                  <c:v>4</c:v>
                </c:pt>
              </c:strCache>
            </c:strRef>
          </c:tx>
          <c:spPr>
            <a:solidFill>
              <a:schemeClr val="accent1">
                <a:lumMod val="60000"/>
              </a:schemeClr>
            </a:solidFill>
            <a:ln>
              <a:noFill/>
            </a:ln>
            <a:effectLst/>
          </c:spPr>
          <c:invertIfNegative val="0"/>
          <c:cat>
            <c:strRef>
              <c:extLst>
                <c:ext xmlns:c15="http://schemas.microsoft.com/office/drawing/2012/chart" uri="{02D57815-91ED-43cb-92C2-25804820EDAC}">
                  <c15:fullRef>
                    <c15:sqref>'PPT Work'!$I$71:$P$71</c15:sqref>
                  </c15:fullRef>
                </c:ext>
              </c:extLst>
              <c:f>'PPT Work'!$I$71:$O$71</c:f>
              <c:strCache>
                <c:ptCount val="7"/>
                <c:pt idx="0">
                  <c:v>May</c:v>
                </c:pt>
                <c:pt idx="1">
                  <c:v>Jun</c:v>
                </c:pt>
                <c:pt idx="2">
                  <c:v>Jul</c:v>
                </c:pt>
                <c:pt idx="3">
                  <c:v>Aug</c:v>
                </c:pt>
                <c:pt idx="4">
                  <c:v>Sep</c:v>
                </c:pt>
                <c:pt idx="5">
                  <c:v>Oct</c:v>
                </c:pt>
                <c:pt idx="6">
                  <c:v>Nov</c:v>
                </c:pt>
              </c:strCache>
            </c:strRef>
          </c:cat>
          <c:val>
            <c:numRef>
              <c:extLst>
                <c:ext xmlns:c15="http://schemas.microsoft.com/office/drawing/2012/chart" uri="{02D57815-91ED-43cb-92C2-25804820EDAC}">
                  <c15:fullRef>
                    <c15:sqref>'PPT Work'!$I$78:$P$78</c15:sqref>
                  </c15:fullRef>
                </c:ext>
              </c:extLst>
              <c:f>'PPT Work'!$I$78:$O$78</c:f>
              <c:numCache>
                <c:formatCode>General</c:formatCode>
                <c:ptCount val="7"/>
              </c:numCache>
            </c:numRef>
          </c:val>
          <c:extLst>
            <c:ext xmlns:c16="http://schemas.microsoft.com/office/drawing/2014/chart" uri="{C3380CC4-5D6E-409C-BE32-E72D297353CC}">
              <c16:uniqueId val="{00000004-D910-409D-B106-81AE337F03B5}"/>
            </c:ext>
          </c:extLst>
        </c:ser>
        <c:dLbls>
          <c:showLegendKey val="0"/>
          <c:showVal val="0"/>
          <c:showCatName val="0"/>
          <c:showSerName val="0"/>
          <c:showPercent val="0"/>
          <c:showBubbleSize val="0"/>
        </c:dLbls>
        <c:gapWidth val="219"/>
        <c:overlap val="-27"/>
        <c:axId val="798031136"/>
        <c:axId val="798032576"/>
      </c:barChart>
      <c:lineChart>
        <c:grouping val="stacked"/>
        <c:varyColors val="0"/>
        <c:ser>
          <c:idx val="0"/>
          <c:order val="0"/>
          <c:tx>
            <c:strRef>
              <c:f>'PPT Work'!$A$72:$H$72</c:f>
              <c:strCache>
                <c:ptCount val="8"/>
                <c:pt idx="0">
                  <c:v>Building</c:v>
                </c:pt>
                <c:pt idx="6">
                  <c:v>1</c:v>
                </c:pt>
                <c:pt idx="7">
                  <c:v>4</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extLst>
                <c:ext xmlns:c15="http://schemas.microsoft.com/office/drawing/2012/chart" uri="{02D57815-91ED-43cb-92C2-25804820EDAC}">
                  <c15:fullRef>
                    <c15:sqref>'PPT Work'!$I$71:$P$71</c15:sqref>
                  </c15:fullRef>
                </c:ext>
              </c:extLst>
              <c:f>'PPT Work'!$I$71:$O$71</c:f>
              <c:strCache>
                <c:ptCount val="7"/>
                <c:pt idx="0">
                  <c:v>May</c:v>
                </c:pt>
                <c:pt idx="1">
                  <c:v>Jun</c:v>
                </c:pt>
                <c:pt idx="2">
                  <c:v>Jul</c:v>
                </c:pt>
                <c:pt idx="3">
                  <c:v>Aug</c:v>
                </c:pt>
                <c:pt idx="4">
                  <c:v>Sep</c:v>
                </c:pt>
                <c:pt idx="5">
                  <c:v>Oct</c:v>
                </c:pt>
                <c:pt idx="6">
                  <c:v>Nov</c:v>
                </c:pt>
              </c:strCache>
            </c:strRef>
          </c:cat>
          <c:val>
            <c:numRef>
              <c:extLst>
                <c:ext xmlns:c15="http://schemas.microsoft.com/office/drawing/2012/chart" uri="{02D57815-91ED-43cb-92C2-25804820EDAC}">
                  <c15:fullRef>
                    <c15:sqref>'PPT Work'!$I$72:$P$72</c15:sqref>
                  </c15:fullRef>
                </c:ext>
              </c:extLst>
              <c:f>'PPT Work'!$I$72:$O$72</c:f>
              <c:numCache>
                <c:formatCode>General</c:formatCode>
                <c:ptCount val="7"/>
                <c:pt idx="0">
                  <c:v>2</c:v>
                </c:pt>
              </c:numCache>
            </c:numRef>
          </c:val>
          <c:smooth val="0"/>
          <c:extLst>
            <c:ext xmlns:c16="http://schemas.microsoft.com/office/drawing/2014/chart" uri="{C3380CC4-5D6E-409C-BE32-E72D297353CC}">
              <c16:uniqueId val="{00000005-D910-409D-B106-81AE337F03B5}"/>
            </c:ext>
          </c:extLst>
        </c:ser>
        <c:ser>
          <c:idx val="1"/>
          <c:order val="1"/>
          <c:tx>
            <c:strRef>
              <c:f>'PPT Work'!$A$73:$H$73</c:f>
              <c:strCache>
                <c:ptCount val="8"/>
                <c:pt idx="0">
                  <c:v>Chemical</c:v>
                </c:pt>
                <c:pt idx="7">
                  <c:v>1</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extLst>
                <c:ext xmlns:c15="http://schemas.microsoft.com/office/drawing/2012/chart" uri="{02D57815-91ED-43cb-92C2-25804820EDAC}">
                  <c15:fullRef>
                    <c15:sqref>'PPT Work'!$I$71:$P$71</c15:sqref>
                  </c15:fullRef>
                </c:ext>
              </c:extLst>
              <c:f>'PPT Work'!$I$71:$O$71</c:f>
              <c:strCache>
                <c:ptCount val="7"/>
                <c:pt idx="0">
                  <c:v>May</c:v>
                </c:pt>
                <c:pt idx="1">
                  <c:v>Jun</c:v>
                </c:pt>
                <c:pt idx="2">
                  <c:v>Jul</c:v>
                </c:pt>
                <c:pt idx="3">
                  <c:v>Aug</c:v>
                </c:pt>
                <c:pt idx="4">
                  <c:v>Sep</c:v>
                </c:pt>
                <c:pt idx="5">
                  <c:v>Oct</c:v>
                </c:pt>
                <c:pt idx="6">
                  <c:v>Nov</c:v>
                </c:pt>
              </c:strCache>
            </c:strRef>
          </c:cat>
          <c:val>
            <c:numRef>
              <c:extLst>
                <c:ext xmlns:c15="http://schemas.microsoft.com/office/drawing/2012/chart" uri="{02D57815-91ED-43cb-92C2-25804820EDAC}">
                  <c15:fullRef>
                    <c15:sqref>'PPT Work'!$I$73:$P$73</c15:sqref>
                  </c15:fullRef>
                </c:ext>
              </c:extLst>
              <c:f>'PPT Work'!$I$73:$O$73</c:f>
              <c:numCache>
                <c:formatCode>General</c:formatCode>
                <c:ptCount val="7"/>
              </c:numCache>
            </c:numRef>
          </c:val>
          <c:smooth val="0"/>
          <c:extLst>
            <c:ext xmlns:c16="http://schemas.microsoft.com/office/drawing/2014/chart" uri="{C3380CC4-5D6E-409C-BE32-E72D297353CC}">
              <c16:uniqueId val="{00000006-D910-409D-B106-81AE337F03B5}"/>
            </c:ext>
          </c:extLst>
        </c:ser>
        <c:dLbls>
          <c:showLegendKey val="0"/>
          <c:showVal val="0"/>
          <c:showCatName val="0"/>
          <c:showSerName val="0"/>
          <c:showPercent val="0"/>
          <c:showBubbleSize val="0"/>
        </c:dLbls>
        <c:marker val="1"/>
        <c:smooth val="0"/>
        <c:axId val="798031136"/>
        <c:axId val="798032576"/>
      </c:lineChart>
      <c:catAx>
        <c:axId val="798031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032576"/>
        <c:crosses val="autoZero"/>
        <c:auto val="1"/>
        <c:lblAlgn val="ctr"/>
        <c:lblOffset val="100"/>
        <c:noMultiLvlLbl val="0"/>
      </c:catAx>
      <c:valAx>
        <c:axId val="7980325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0311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Safety</a:t>
            </a:r>
            <a:r>
              <a:rPr lang="en-US" baseline="0"/>
              <a:t> Observation </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7AD-44DB-A370-89804365B97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7AD-44DB-A370-89804365B97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7AD-44DB-A370-89804365B97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7AD-44DB-A370-89804365B97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'PPT Work'!$A$1:$A$4</c:f>
              <c:strCache>
                <c:ptCount val="4"/>
                <c:pt idx="0">
                  <c:v>Safe Act</c:v>
                </c:pt>
                <c:pt idx="1">
                  <c:v>Safe Condition</c:v>
                </c:pt>
                <c:pt idx="2">
                  <c:v>Unsafe Act</c:v>
                </c:pt>
                <c:pt idx="3">
                  <c:v>Unsafe Condition</c:v>
                </c:pt>
              </c:strCache>
            </c:strRef>
          </c:cat>
          <c:val>
            <c:numRef>
              <c:f>'PPT Work'!$C$1:$C$4</c:f>
              <c:numCache>
                <c:formatCode>General</c:formatCode>
                <c:ptCount val="4"/>
                <c:pt idx="0">
                  <c:v>29</c:v>
                </c:pt>
                <c:pt idx="1">
                  <c:v>8</c:v>
                </c:pt>
                <c:pt idx="2">
                  <c:v>12</c:v>
                </c:pt>
                <c:pt idx="3">
                  <c:v>67</c:v>
                </c:pt>
              </c:numCache>
            </c:numRef>
          </c:val>
          <c:extLst>
            <c:ext xmlns:c16="http://schemas.microsoft.com/office/drawing/2014/chart" uri="{C3380CC4-5D6E-409C-BE32-E72D297353CC}">
              <c16:uniqueId val="{00000000-A9AD-4767-A8B6-668C5A65FADA}"/>
            </c:ext>
          </c:extLst>
        </c:ser>
        <c:ser>
          <c:idx val="1"/>
          <c:order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9-C7AD-44DB-A370-89804365B97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C7AD-44DB-A370-89804365B97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C7AD-44DB-A370-89804365B97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C7AD-44DB-A370-89804365B975}"/>
              </c:ext>
            </c:extLst>
          </c:dPt>
          <c:cat>
            <c:strRef>
              <c:f>'PPT Work'!$A$1:$A$4</c:f>
              <c:strCache>
                <c:ptCount val="4"/>
                <c:pt idx="0">
                  <c:v>Safe Act</c:v>
                </c:pt>
                <c:pt idx="1">
                  <c:v>Safe Condition</c:v>
                </c:pt>
                <c:pt idx="2">
                  <c:v>Unsafe Act</c:v>
                </c:pt>
                <c:pt idx="3">
                  <c:v>Unsafe Condition</c:v>
                </c:pt>
              </c:strCache>
            </c:strRef>
          </c:cat>
          <c:val>
            <c:numRef>
              <c:f>'PPT Work'!$G$5:$G$8</c:f>
              <c:numCache>
                <c:formatCode>General</c:formatCode>
                <c:ptCount val="4"/>
              </c:numCache>
            </c:numRef>
          </c:val>
          <c:extLst>
            <c:ext xmlns:c16="http://schemas.microsoft.com/office/drawing/2014/chart" uri="{C3380CC4-5D6E-409C-BE32-E72D297353CC}">
              <c16:uniqueId val="{00000001-A9AD-4767-A8B6-668C5A65FADA}"/>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Safe</a:t>
            </a:r>
            <a:r>
              <a:rPr lang="en-US" baseline="0"/>
              <a:t> vs. Unsafe Observations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'PPT Work'!$A$25:$B$25</c:f>
              <c:strCache>
                <c:ptCount val="2"/>
                <c:pt idx="0">
                  <c:v>Safe Observation</c:v>
                </c:pt>
              </c:strCache>
            </c:strRef>
          </c:tx>
          <c:spPr>
            <a:ln w="28575" cap="rnd">
              <a:solidFill>
                <a:schemeClr val="bg2">
                  <a:lumMod val="50000"/>
                </a:schemeClr>
              </a:solidFill>
              <a:round/>
            </a:ln>
            <a:effectLst/>
          </c:spPr>
          <c:marker>
            <c:symbol val="circle"/>
            <c:size val="5"/>
            <c:spPr>
              <a:solidFill>
                <a:schemeClr val="bg2">
                  <a:lumMod val="50000"/>
                </a:schemeClr>
              </a:solidFill>
              <a:ln w="9525">
                <a:solidFill>
                  <a:schemeClr val="bg2">
                    <a:lumMod val="50000"/>
                  </a:schemeClr>
                </a:solidFill>
              </a:ln>
              <a:effectLst/>
            </c:spPr>
          </c:marker>
          <c:dLbls>
            <c:dLbl>
              <c:idx val="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601-4444-B81A-8938AAF5A42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'PPT Work'!$C$24:$N$24</c15:sqref>
                  </c15:fullRef>
                </c:ext>
              </c:extLst>
              <c:f>'PPT Work'!$C$24:$G$24</c:f>
              <c:strCache>
                <c:ptCount val="5"/>
                <c:pt idx="0">
                  <c:v>Jan</c:v>
                </c:pt>
                <c:pt idx="1">
                  <c:v>Feb</c:v>
                </c:pt>
                <c:pt idx="2">
                  <c:v>Mar</c:v>
                </c:pt>
                <c:pt idx="3">
                  <c:v>Apr</c:v>
                </c:pt>
                <c:pt idx="4">
                  <c:v>May</c:v>
                </c:pt>
              </c:strCache>
            </c:strRef>
          </c:cat>
          <c:val>
            <c:numRef>
              <c:extLst>
                <c:ext xmlns:c15="http://schemas.microsoft.com/office/drawing/2012/chart" uri="{02D57815-91ED-43cb-92C2-25804820EDAC}">
                  <c15:fullRef>
                    <c15:sqref>'PPT Work'!$C$25:$N$25</c15:sqref>
                  </c15:fullRef>
                </c:ext>
              </c:extLst>
              <c:f>'PPT Work'!$C$25:$G$25</c:f>
              <c:numCache>
                <c:formatCode>General</c:formatCode>
                <c:ptCount val="5"/>
                <c:pt idx="0">
                  <c:v>2</c:v>
                </c:pt>
                <c:pt idx="1">
                  <c:v>10</c:v>
                </c:pt>
                <c:pt idx="2">
                  <c:v>19</c:v>
                </c:pt>
                <c:pt idx="3">
                  <c:v>29</c:v>
                </c:pt>
                <c:pt idx="4">
                  <c:v>37</c:v>
                </c:pt>
              </c:numCache>
            </c:numRef>
          </c:val>
          <c:smooth val="0"/>
          <c:extLst>
            <c:ext xmlns:c16="http://schemas.microsoft.com/office/drawing/2014/chart" uri="{C3380CC4-5D6E-409C-BE32-E72D297353CC}">
              <c16:uniqueId val="{00000000-9601-4444-B81A-8938AAF5A42B}"/>
            </c:ext>
          </c:extLst>
        </c:ser>
        <c:ser>
          <c:idx val="1"/>
          <c:order val="1"/>
          <c:tx>
            <c:strRef>
              <c:f>'PPT Work'!$A$26:$B$26</c:f>
              <c:strCache>
                <c:ptCount val="2"/>
                <c:pt idx="0">
                  <c:v>Unsafe Observation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Lbl>
              <c:idx val="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601-4444-B81A-8938AAF5A42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'PPT Work'!$C$24:$N$24</c15:sqref>
                  </c15:fullRef>
                </c:ext>
              </c:extLst>
              <c:f>'PPT Work'!$C$24:$G$24</c:f>
              <c:strCache>
                <c:ptCount val="5"/>
                <c:pt idx="0">
                  <c:v>Jan</c:v>
                </c:pt>
                <c:pt idx="1">
                  <c:v>Feb</c:v>
                </c:pt>
                <c:pt idx="2">
                  <c:v>Mar</c:v>
                </c:pt>
                <c:pt idx="3">
                  <c:v>Apr</c:v>
                </c:pt>
                <c:pt idx="4">
                  <c:v>May</c:v>
                </c:pt>
              </c:strCache>
            </c:strRef>
          </c:cat>
          <c:val>
            <c:numRef>
              <c:extLst>
                <c:ext xmlns:c15="http://schemas.microsoft.com/office/drawing/2012/chart" uri="{02D57815-91ED-43cb-92C2-25804820EDAC}">
                  <c15:fullRef>
                    <c15:sqref>'PPT Work'!$C$26:$N$26</c15:sqref>
                  </c15:fullRef>
                </c:ext>
              </c:extLst>
              <c:f>'PPT Work'!$C$26:$G$26</c:f>
              <c:numCache>
                <c:formatCode>General</c:formatCode>
                <c:ptCount val="5"/>
                <c:pt idx="0">
                  <c:v>11</c:v>
                </c:pt>
                <c:pt idx="1">
                  <c:v>35</c:v>
                </c:pt>
                <c:pt idx="2">
                  <c:v>46</c:v>
                </c:pt>
                <c:pt idx="3">
                  <c:v>65</c:v>
                </c:pt>
                <c:pt idx="4">
                  <c:v>79</c:v>
                </c:pt>
              </c:numCache>
            </c:numRef>
          </c:val>
          <c:smooth val="0"/>
          <c:extLst>
            <c:ext xmlns:c16="http://schemas.microsoft.com/office/drawing/2014/chart" uri="{C3380CC4-5D6E-409C-BE32-E72D297353CC}">
              <c16:uniqueId val="{00000001-9601-4444-B81A-8938AAF5A42B}"/>
            </c:ext>
          </c:extLst>
        </c:ser>
        <c:dLbls>
          <c:showLegendKey val="0"/>
          <c:showVal val="0"/>
          <c:showCatName val="0"/>
          <c:showSerName val="0"/>
          <c:showPercent val="0"/>
          <c:showBubbleSize val="0"/>
        </c:dLbls>
        <c:marker val="1"/>
        <c:smooth val="0"/>
        <c:axId val="577144520"/>
        <c:axId val="577157120"/>
      </c:lineChart>
      <c:catAx>
        <c:axId val="577144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157120"/>
        <c:crosses val="autoZero"/>
        <c:auto val="1"/>
        <c:lblAlgn val="ctr"/>
        <c:lblOffset val="100"/>
        <c:noMultiLvlLbl val="0"/>
      </c:catAx>
      <c:valAx>
        <c:axId val="5771571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144520"/>
        <c:crosses val="autoZero"/>
        <c:crossBetween val="between"/>
      </c:valAx>
      <c:spPr>
        <a:noFill/>
        <a:ln>
          <a:noFill/>
        </a:ln>
        <a:effectLst/>
      </c:spPr>
    </c:plotArea>
    <c:legend>
      <c:legendPos val="b"/>
      <c:overlay val="0"/>
      <c:spPr>
        <a:noFill/>
        <a:ln>
          <a:solidFill>
            <a:schemeClr val="bg2">
              <a:lumMod val="50000"/>
            </a:schemeClr>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Unsafe</a:t>
            </a:r>
            <a:r>
              <a:rPr lang="en-US" baseline="0"/>
              <a:t> Observations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'PPT Work'!$A$46:$D$46</c:f>
              <c:strCache>
                <c:ptCount val="4"/>
                <c:pt idx="0">
                  <c:v>Chemical</c:v>
                </c:pt>
              </c:strCache>
              <c:extLst xmlns:c15="http://schemas.microsoft.com/office/drawing/2012/chart"/>
            </c:strRef>
          </c:tx>
          <c:spPr>
            <a:solidFill>
              <a:schemeClr val="accent2"/>
            </a:solidFill>
            <a:ln>
              <a:noFill/>
            </a:ln>
            <a:effectLst/>
          </c:spPr>
          <c:invertIfNegative val="0"/>
          <c:cat>
            <c:strRef>
              <c:extLst>
                <c:ext xmlns:c15="http://schemas.microsoft.com/office/drawing/2012/chart" uri="{02D57815-91ED-43cb-92C2-25804820EDAC}">
                  <c15:fullRef>
                    <c15:sqref>'PPT Work'!$E$44:$P$44</c15:sqref>
                  </c15:fullRef>
                </c:ext>
              </c:extLst>
              <c:f>'PPT Work'!$E$44:$I$44</c:f>
              <c:strCache>
                <c:ptCount val="5"/>
                <c:pt idx="0">
                  <c:v>Jan</c:v>
                </c:pt>
                <c:pt idx="1">
                  <c:v>Feb</c:v>
                </c:pt>
                <c:pt idx="2">
                  <c:v>Mar</c:v>
                </c:pt>
                <c:pt idx="3">
                  <c:v>Apr</c:v>
                </c:pt>
                <c:pt idx="4">
                  <c:v>May</c:v>
                </c:pt>
              </c:strCache>
            </c:strRef>
          </c:cat>
          <c:val>
            <c:numRef>
              <c:extLst>
                <c:ext xmlns:c15="http://schemas.microsoft.com/office/drawing/2012/chart" uri="{02D57815-91ED-43cb-92C2-25804820EDAC}">
                  <c15:fullRef>
                    <c15:sqref>'PPT Work'!$E$46:$P$46</c15:sqref>
                  </c15:fullRef>
                </c:ext>
              </c:extLst>
              <c:f>'PPT Work'!$E$46:$I$46</c:f>
              <c:numCache>
                <c:formatCode>General</c:formatCode>
                <c:ptCount val="5"/>
                <c:pt idx="2">
                  <c:v>1</c:v>
                </c:pt>
                <c:pt idx="3">
                  <c:v>1</c:v>
                </c:pt>
              </c:numCache>
            </c:numRef>
          </c:val>
          <c:extLst xmlns:c15="http://schemas.microsoft.com/office/drawing/2012/chart">
            <c:ext xmlns:c16="http://schemas.microsoft.com/office/drawing/2014/chart" uri="{C3380CC4-5D6E-409C-BE32-E72D297353CC}">
              <c16:uniqueId val="{00000000-429D-42AA-B207-887523A49374}"/>
            </c:ext>
          </c:extLst>
        </c:ser>
        <c:ser>
          <c:idx val="3"/>
          <c:order val="3"/>
          <c:tx>
            <c:strRef>
              <c:f>'PPT Work'!$A$48:$D$48</c:f>
              <c:strCache>
                <c:ptCount val="4"/>
                <c:pt idx="0">
                  <c:v>Electrical</c:v>
                </c:pt>
              </c:strCache>
              <c:extLst xmlns:c15="http://schemas.microsoft.com/office/drawing/2012/chart"/>
            </c:strRef>
          </c:tx>
          <c:spPr>
            <a:solidFill>
              <a:schemeClr val="accent4"/>
            </a:solidFill>
            <a:ln>
              <a:noFill/>
            </a:ln>
            <a:effectLst/>
          </c:spPr>
          <c:invertIfNegative val="0"/>
          <c:cat>
            <c:strRef>
              <c:extLst>
                <c:ext xmlns:c15="http://schemas.microsoft.com/office/drawing/2012/chart" uri="{02D57815-91ED-43cb-92C2-25804820EDAC}">
                  <c15:fullRef>
                    <c15:sqref>'PPT Work'!$E$44:$P$44</c15:sqref>
                  </c15:fullRef>
                </c:ext>
              </c:extLst>
              <c:f>'PPT Work'!$E$44:$I$44</c:f>
              <c:strCache>
                <c:ptCount val="5"/>
                <c:pt idx="0">
                  <c:v>Jan</c:v>
                </c:pt>
                <c:pt idx="1">
                  <c:v>Feb</c:v>
                </c:pt>
                <c:pt idx="2">
                  <c:v>Mar</c:v>
                </c:pt>
                <c:pt idx="3">
                  <c:v>Apr</c:v>
                </c:pt>
                <c:pt idx="4">
                  <c:v>May</c:v>
                </c:pt>
              </c:strCache>
            </c:strRef>
          </c:cat>
          <c:val>
            <c:numRef>
              <c:extLst>
                <c:ext xmlns:c15="http://schemas.microsoft.com/office/drawing/2012/chart" uri="{02D57815-91ED-43cb-92C2-25804820EDAC}">
                  <c15:fullRef>
                    <c15:sqref>'PPT Work'!$E$48:$P$48</c15:sqref>
                  </c15:fullRef>
                </c:ext>
              </c:extLst>
              <c:f>'PPT Work'!$E$48:$I$48</c:f>
              <c:numCache>
                <c:formatCode>General</c:formatCode>
                <c:ptCount val="5"/>
                <c:pt idx="2">
                  <c:v>1</c:v>
                </c:pt>
                <c:pt idx="3">
                  <c:v>3</c:v>
                </c:pt>
                <c:pt idx="4">
                  <c:v>1</c:v>
                </c:pt>
              </c:numCache>
            </c:numRef>
          </c:val>
          <c:extLst xmlns:c15="http://schemas.microsoft.com/office/drawing/2012/chart">
            <c:ext xmlns:c16="http://schemas.microsoft.com/office/drawing/2014/chart" uri="{C3380CC4-5D6E-409C-BE32-E72D297353CC}">
              <c16:uniqueId val="{00000002-429D-42AA-B207-887523A49374}"/>
            </c:ext>
          </c:extLst>
        </c:ser>
        <c:ser>
          <c:idx val="6"/>
          <c:order val="6"/>
          <c:tx>
            <c:strRef>
              <c:f>'PPT Work'!$A$51:$D$51</c:f>
              <c:strCache>
                <c:ptCount val="4"/>
                <c:pt idx="0">
                  <c:v>Forklift</c:v>
                </c:pt>
              </c:strCache>
            </c:strRef>
          </c:tx>
          <c:spPr>
            <a:solidFill>
              <a:schemeClr val="accent1">
                <a:lumMod val="60000"/>
              </a:schemeClr>
            </a:solidFill>
            <a:ln>
              <a:noFill/>
            </a:ln>
            <a:effectLst/>
          </c:spPr>
          <c:invertIfNegative val="0"/>
          <c:cat>
            <c:strRef>
              <c:extLst>
                <c:ext xmlns:c15="http://schemas.microsoft.com/office/drawing/2012/chart" uri="{02D57815-91ED-43cb-92C2-25804820EDAC}">
                  <c15:fullRef>
                    <c15:sqref>'PPT Work'!$E$44:$P$44</c15:sqref>
                  </c15:fullRef>
                </c:ext>
              </c:extLst>
              <c:f>'PPT Work'!$E$44:$I$44</c:f>
              <c:strCache>
                <c:ptCount val="5"/>
                <c:pt idx="0">
                  <c:v>Jan</c:v>
                </c:pt>
                <c:pt idx="1">
                  <c:v>Feb</c:v>
                </c:pt>
                <c:pt idx="2">
                  <c:v>Mar</c:v>
                </c:pt>
                <c:pt idx="3">
                  <c:v>Apr</c:v>
                </c:pt>
                <c:pt idx="4">
                  <c:v>May</c:v>
                </c:pt>
              </c:strCache>
            </c:strRef>
          </c:cat>
          <c:val>
            <c:numRef>
              <c:extLst>
                <c:ext xmlns:c15="http://schemas.microsoft.com/office/drawing/2012/chart" uri="{02D57815-91ED-43cb-92C2-25804820EDAC}">
                  <c15:fullRef>
                    <c15:sqref>'PPT Work'!$E$51:$P$51</c15:sqref>
                  </c15:fullRef>
                </c:ext>
              </c:extLst>
              <c:f>'PPT Work'!$E$51:$I$51</c:f>
              <c:numCache>
                <c:formatCode>General</c:formatCode>
                <c:ptCount val="5"/>
                <c:pt idx="0">
                  <c:v>2</c:v>
                </c:pt>
                <c:pt idx="1">
                  <c:v>4</c:v>
                </c:pt>
                <c:pt idx="2">
                  <c:v>1</c:v>
                </c:pt>
              </c:numCache>
            </c:numRef>
          </c:val>
          <c:extLst>
            <c:ext xmlns:c16="http://schemas.microsoft.com/office/drawing/2014/chart" uri="{C3380CC4-5D6E-409C-BE32-E72D297353CC}">
              <c16:uniqueId val="{00000004-429D-42AA-B207-887523A49374}"/>
            </c:ext>
          </c:extLst>
        </c:ser>
        <c:ser>
          <c:idx val="7"/>
          <c:order val="7"/>
          <c:tx>
            <c:strRef>
              <c:f>'PPT Work'!$A$52:$D$52</c:f>
              <c:strCache>
                <c:ptCount val="4"/>
                <c:pt idx="0">
                  <c:v>Housekeepng</c:v>
                </c:pt>
              </c:strCache>
            </c:strRef>
          </c:tx>
          <c:spPr>
            <a:solidFill>
              <a:schemeClr val="accent2">
                <a:lumMod val="60000"/>
              </a:schemeClr>
            </a:solidFill>
            <a:ln>
              <a:noFill/>
            </a:ln>
            <a:effectLst/>
          </c:spPr>
          <c:invertIfNegative val="0"/>
          <c:cat>
            <c:strRef>
              <c:extLst>
                <c:ext xmlns:c15="http://schemas.microsoft.com/office/drawing/2012/chart" uri="{02D57815-91ED-43cb-92C2-25804820EDAC}">
                  <c15:fullRef>
                    <c15:sqref>'PPT Work'!$E$44:$P$44</c15:sqref>
                  </c15:fullRef>
                </c:ext>
              </c:extLst>
              <c:f>'PPT Work'!$E$44:$I$44</c:f>
              <c:strCache>
                <c:ptCount val="5"/>
                <c:pt idx="0">
                  <c:v>Jan</c:v>
                </c:pt>
                <c:pt idx="1">
                  <c:v>Feb</c:v>
                </c:pt>
                <c:pt idx="2">
                  <c:v>Mar</c:v>
                </c:pt>
                <c:pt idx="3">
                  <c:v>Apr</c:v>
                </c:pt>
                <c:pt idx="4">
                  <c:v>May</c:v>
                </c:pt>
              </c:strCache>
            </c:strRef>
          </c:cat>
          <c:val>
            <c:numRef>
              <c:extLst>
                <c:ext xmlns:c15="http://schemas.microsoft.com/office/drawing/2012/chart" uri="{02D57815-91ED-43cb-92C2-25804820EDAC}">
                  <c15:fullRef>
                    <c15:sqref>'PPT Work'!$E$52:$P$52</c15:sqref>
                  </c15:fullRef>
                </c:ext>
              </c:extLst>
              <c:f>'PPT Work'!$E$52:$I$52</c:f>
              <c:numCache>
                <c:formatCode>General</c:formatCode>
                <c:ptCount val="5"/>
                <c:pt idx="0">
                  <c:v>2</c:v>
                </c:pt>
                <c:pt idx="1">
                  <c:v>1</c:v>
                </c:pt>
                <c:pt idx="2">
                  <c:v>2</c:v>
                </c:pt>
                <c:pt idx="3">
                  <c:v>2</c:v>
                </c:pt>
                <c:pt idx="4">
                  <c:v>2</c:v>
                </c:pt>
              </c:numCache>
            </c:numRef>
          </c:val>
          <c:extLst>
            <c:ext xmlns:c16="http://schemas.microsoft.com/office/drawing/2014/chart" uri="{C3380CC4-5D6E-409C-BE32-E72D297353CC}">
              <c16:uniqueId val="{00000005-429D-42AA-B207-887523A49374}"/>
            </c:ext>
          </c:extLst>
        </c:ser>
        <c:ser>
          <c:idx val="0"/>
          <c:order val="0"/>
          <c:tx>
            <c:strRef>
              <c:f>'PPT Work'!$A$45:$D$45</c:f>
              <c:strCache>
                <c:ptCount val="4"/>
                <c:pt idx="0">
                  <c:v>Building</c:v>
                </c:pt>
              </c:strCache>
            </c:strRef>
          </c:tx>
          <c:spPr>
            <a:solidFill>
              <a:schemeClr val="accent1"/>
            </a:solidFill>
            <a:ln>
              <a:noFill/>
            </a:ln>
            <a:effectLst/>
          </c:spPr>
          <c:invertIfNegative val="0"/>
          <c:cat>
            <c:strRef>
              <c:extLst>
                <c:ext xmlns:c15="http://schemas.microsoft.com/office/drawing/2012/chart" uri="{02D57815-91ED-43cb-92C2-25804820EDAC}">
                  <c15:fullRef>
                    <c15:sqref>'PPT Work'!$E$44:$P$44</c15:sqref>
                  </c15:fullRef>
                </c:ext>
              </c:extLst>
              <c:f>'PPT Work'!$E$44:$I$44</c:f>
              <c:strCache>
                <c:ptCount val="5"/>
                <c:pt idx="0">
                  <c:v>Jan</c:v>
                </c:pt>
                <c:pt idx="1">
                  <c:v>Feb</c:v>
                </c:pt>
                <c:pt idx="2">
                  <c:v>Mar</c:v>
                </c:pt>
                <c:pt idx="3">
                  <c:v>Apr</c:v>
                </c:pt>
                <c:pt idx="4">
                  <c:v>May</c:v>
                </c:pt>
              </c:strCache>
            </c:strRef>
          </c:cat>
          <c:val>
            <c:numRef>
              <c:extLst>
                <c:ext xmlns:c15="http://schemas.microsoft.com/office/drawing/2012/chart" uri="{02D57815-91ED-43cb-92C2-25804820EDAC}">
                  <c15:fullRef>
                    <c15:sqref>'PPT Work'!$E$45:$P$45</c15:sqref>
                  </c15:fullRef>
                </c:ext>
              </c:extLst>
              <c:f>'PPT Work'!$E$45:$I$45</c:f>
              <c:numCache>
                <c:formatCode>General</c:formatCode>
                <c:ptCount val="5"/>
                <c:pt idx="0">
                  <c:v>3</c:v>
                </c:pt>
                <c:pt idx="1">
                  <c:v>2</c:v>
                </c:pt>
                <c:pt idx="3">
                  <c:v>4</c:v>
                </c:pt>
                <c:pt idx="4">
                  <c:v>2</c:v>
                </c:pt>
              </c:numCache>
            </c:numRef>
          </c:val>
          <c:extLst>
            <c:ext xmlns:c16="http://schemas.microsoft.com/office/drawing/2014/chart" uri="{C3380CC4-5D6E-409C-BE32-E72D297353CC}">
              <c16:uniqueId val="{00000006-429D-42AA-B207-887523A49374}"/>
            </c:ext>
          </c:extLst>
        </c:ser>
        <c:ser>
          <c:idx val="9"/>
          <c:order val="9"/>
          <c:tx>
            <c:strRef>
              <c:f>'PPT Work'!$A$54:$D$54</c:f>
              <c:strCache>
                <c:ptCount val="4"/>
                <c:pt idx="0">
                  <c:v>Material defect</c:v>
                </c:pt>
              </c:strCache>
              <c:extLst xmlns:c15="http://schemas.microsoft.com/office/drawing/2012/chart"/>
            </c:strRef>
          </c:tx>
          <c:spPr>
            <a:solidFill>
              <a:schemeClr val="accent4">
                <a:lumMod val="60000"/>
              </a:schemeClr>
            </a:solidFill>
            <a:ln>
              <a:noFill/>
            </a:ln>
            <a:effectLst/>
          </c:spPr>
          <c:invertIfNegative val="0"/>
          <c:cat>
            <c:strRef>
              <c:extLst>
                <c:ext xmlns:c15="http://schemas.microsoft.com/office/drawing/2012/chart" uri="{02D57815-91ED-43cb-92C2-25804820EDAC}">
                  <c15:fullRef>
                    <c15:sqref>'PPT Work'!$E$44:$P$44</c15:sqref>
                  </c15:fullRef>
                </c:ext>
              </c:extLst>
              <c:f>'PPT Work'!$E$44:$I$44</c:f>
              <c:strCache>
                <c:ptCount val="5"/>
                <c:pt idx="0">
                  <c:v>Jan</c:v>
                </c:pt>
                <c:pt idx="1">
                  <c:v>Feb</c:v>
                </c:pt>
                <c:pt idx="2">
                  <c:v>Mar</c:v>
                </c:pt>
                <c:pt idx="3">
                  <c:v>Apr</c:v>
                </c:pt>
                <c:pt idx="4">
                  <c:v>May</c:v>
                </c:pt>
              </c:strCache>
            </c:strRef>
          </c:cat>
          <c:val>
            <c:numRef>
              <c:extLst>
                <c:ext xmlns:c15="http://schemas.microsoft.com/office/drawing/2012/chart" uri="{02D57815-91ED-43cb-92C2-25804820EDAC}">
                  <c15:fullRef>
                    <c15:sqref>'PPT Work'!$E$54:$P$54</c15:sqref>
                  </c15:fullRef>
                </c:ext>
              </c:extLst>
              <c:f>'PPT Work'!$E$54:$I$54</c:f>
              <c:numCache>
                <c:formatCode>General</c:formatCode>
                <c:ptCount val="5"/>
                <c:pt idx="2">
                  <c:v>1</c:v>
                </c:pt>
                <c:pt idx="3">
                  <c:v>2</c:v>
                </c:pt>
                <c:pt idx="4">
                  <c:v>2</c:v>
                </c:pt>
              </c:numCache>
            </c:numRef>
          </c:val>
          <c:extLst xmlns:c15="http://schemas.microsoft.com/office/drawing/2012/chart">
            <c:ext xmlns:c16="http://schemas.microsoft.com/office/drawing/2014/chart" uri="{C3380CC4-5D6E-409C-BE32-E72D297353CC}">
              <c16:uniqueId val="{00000001-4BFD-48AF-AD6A-87FA26B24A03}"/>
            </c:ext>
          </c:extLst>
        </c:ser>
        <c:ser>
          <c:idx val="12"/>
          <c:order val="12"/>
          <c:tx>
            <c:strRef>
              <c:f>'PPT Work'!$A$57:$D$57</c:f>
              <c:strCache>
                <c:ptCount val="4"/>
                <c:pt idx="0">
                  <c:v>PPE</c:v>
                </c:pt>
              </c:strCache>
            </c:strRef>
          </c:tx>
          <c:spPr>
            <a:solidFill>
              <a:schemeClr val="accent1">
                <a:lumMod val="80000"/>
                <a:lumOff val="20000"/>
              </a:schemeClr>
            </a:solidFill>
            <a:ln>
              <a:noFill/>
            </a:ln>
            <a:effectLst/>
          </c:spPr>
          <c:invertIfNegative val="0"/>
          <c:cat>
            <c:strRef>
              <c:extLst>
                <c:ext xmlns:c15="http://schemas.microsoft.com/office/drawing/2012/chart" uri="{02D57815-91ED-43cb-92C2-25804820EDAC}">
                  <c15:fullRef>
                    <c15:sqref>'PPT Work'!$E$44:$P$44</c15:sqref>
                  </c15:fullRef>
                </c:ext>
              </c:extLst>
              <c:f>'PPT Work'!$E$44:$I$44</c:f>
              <c:strCache>
                <c:ptCount val="5"/>
                <c:pt idx="0">
                  <c:v>Jan</c:v>
                </c:pt>
                <c:pt idx="1">
                  <c:v>Feb</c:v>
                </c:pt>
                <c:pt idx="2">
                  <c:v>Mar</c:v>
                </c:pt>
                <c:pt idx="3">
                  <c:v>Apr</c:v>
                </c:pt>
                <c:pt idx="4">
                  <c:v>May</c:v>
                </c:pt>
              </c:strCache>
            </c:strRef>
          </c:cat>
          <c:val>
            <c:numRef>
              <c:extLst>
                <c:ext xmlns:c15="http://schemas.microsoft.com/office/drawing/2012/chart" uri="{02D57815-91ED-43cb-92C2-25804820EDAC}">
                  <c15:fullRef>
                    <c15:sqref>'PPT Work'!$E$57:$P$57</c15:sqref>
                  </c15:fullRef>
                </c:ext>
              </c:extLst>
              <c:f>'PPT Work'!$E$57:$I$57</c:f>
              <c:numCache>
                <c:formatCode>General</c:formatCode>
                <c:ptCount val="5"/>
                <c:pt idx="1">
                  <c:v>2</c:v>
                </c:pt>
                <c:pt idx="2">
                  <c:v>1</c:v>
                </c:pt>
              </c:numCache>
            </c:numRef>
          </c:val>
          <c:extLst>
            <c:ext xmlns:c16="http://schemas.microsoft.com/office/drawing/2014/chart" uri="{C3380CC4-5D6E-409C-BE32-E72D297353CC}">
              <c16:uniqueId val="{00000004-4BFD-48AF-AD6A-87FA26B24A03}"/>
            </c:ext>
          </c:extLst>
        </c:ser>
        <c:ser>
          <c:idx val="13"/>
          <c:order val="13"/>
          <c:tx>
            <c:strRef>
              <c:f>'PPT Work'!$A$58:$D$58</c:f>
              <c:strCache>
                <c:ptCount val="4"/>
                <c:pt idx="0">
                  <c:v>Respiratory protection</c:v>
                </c:pt>
              </c:strCache>
            </c:strRef>
          </c:tx>
          <c:spPr>
            <a:solidFill>
              <a:schemeClr val="accent2">
                <a:lumMod val="80000"/>
                <a:lumOff val="20000"/>
              </a:schemeClr>
            </a:solidFill>
            <a:ln>
              <a:noFill/>
            </a:ln>
            <a:effectLst/>
          </c:spPr>
          <c:invertIfNegative val="0"/>
          <c:cat>
            <c:strRef>
              <c:extLst>
                <c:ext xmlns:c15="http://schemas.microsoft.com/office/drawing/2012/chart" uri="{02D57815-91ED-43cb-92C2-25804820EDAC}">
                  <c15:fullRef>
                    <c15:sqref>'PPT Work'!$E$44:$P$44</c15:sqref>
                  </c15:fullRef>
                </c:ext>
              </c:extLst>
              <c:f>'PPT Work'!$E$44:$I$44</c:f>
              <c:strCache>
                <c:ptCount val="5"/>
                <c:pt idx="0">
                  <c:v>Jan</c:v>
                </c:pt>
                <c:pt idx="1">
                  <c:v>Feb</c:v>
                </c:pt>
                <c:pt idx="2">
                  <c:v>Mar</c:v>
                </c:pt>
                <c:pt idx="3">
                  <c:v>Apr</c:v>
                </c:pt>
                <c:pt idx="4">
                  <c:v>May</c:v>
                </c:pt>
              </c:strCache>
            </c:strRef>
          </c:cat>
          <c:val>
            <c:numRef>
              <c:extLst>
                <c:ext xmlns:c15="http://schemas.microsoft.com/office/drawing/2012/chart" uri="{02D57815-91ED-43cb-92C2-25804820EDAC}">
                  <c15:fullRef>
                    <c15:sqref>'PPT Work'!$E$58:$P$58</c15:sqref>
                  </c15:fullRef>
                </c:ext>
              </c:extLst>
              <c:f>'PPT Work'!$E$58:$I$58</c:f>
              <c:numCache>
                <c:formatCode>General</c:formatCode>
                <c:ptCount val="5"/>
                <c:pt idx="0">
                  <c:v>1</c:v>
                </c:pt>
              </c:numCache>
            </c:numRef>
          </c:val>
          <c:extLst>
            <c:ext xmlns:c16="http://schemas.microsoft.com/office/drawing/2014/chart" uri="{C3380CC4-5D6E-409C-BE32-E72D297353CC}">
              <c16:uniqueId val="{00000005-4BFD-48AF-AD6A-87FA26B24A03}"/>
            </c:ext>
          </c:extLst>
        </c:ser>
        <c:ser>
          <c:idx val="14"/>
          <c:order val="14"/>
          <c:tx>
            <c:strRef>
              <c:f>'PPT Work'!$A$59:$D$59</c:f>
              <c:strCache>
                <c:ptCount val="4"/>
                <c:pt idx="0">
                  <c:v>Slip, trip, fall</c:v>
                </c:pt>
              </c:strCache>
              <c:extLst xmlns:c15="http://schemas.microsoft.com/office/drawing/2012/chart"/>
            </c:strRef>
          </c:tx>
          <c:spPr>
            <a:solidFill>
              <a:schemeClr val="accent3">
                <a:lumMod val="80000"/>
                <a:lumOff val="20000"/>
              </a:schemeClr>
            </a:solidFill>
            <a:ln>
              <a:noFill/>
            </a:ln>
            <a:effectLst/>
          </c:spPr>
          <c:invertIfNegative val="0"/>
          <c:cat>
            <c:strRef>
              <c:extLst>
                <c:ext xmlns:c15="http://schemas.microsoft.com/office/drawing/2012/chart" uri="{02D57815-91ED-43cb-92C2-25804820EDAC}">
                  <c15:fullRef>
                    <c15:sqref>'PPT Work'!$E$44:$P$44</c15:sqref>
                  </c15:fullRef>
                </c:ext>
              </c:extLst>
              <c:f>'PPT Work'!$E$44:$I$44</c:f>
              <c:strCache>
                <c:ptCount val="5"/>
                <c:pt idx="0">
                  <c:v>Jan</c:v>
                </c:pt>
                <c:pt idx="1">
                  <c:v>Feb</c:v>
                </c:pt>
                <c:pt idx="2">
                  <c:v>Mar</c:v>
                </c:pt>
                <c:pt idx="3">
                  <c:v>Apr</c:v>
                </c:pt>
                <c:pt idx="4">
                  <c:v>May</c:v>
                </c:pt>
              </c:strCache>
            </c:strRef>
          </c:cat>
          <c:val>
            <c:numRef>
              <c:extLst>
                <c:ext xmlns:c15="http://schemas.microsoft.com/office/drawing/2012/chart" uri="{02D57815-91ED-43cb-92C2-25804820EDAC}">
                  <c15:fullRef>
                    <c15:sqref>'PPT Work'!$E$59:$P$59</c15:sqref>
                  </c15:fullRef>
                </c:ext>
              </c:extLst>
              <c:f>'PPT Work'!$E$59:$I$59</c:f>
              <c:numCache>
                <c:formatCode>General</c:formatCode>
                <c:ptCount val="5"/>
                <c:pt idx="2">
                  <c:v>2</c:v>
                </c:pt>
                <c:pt idx="3">
                  <c:v>3</c:v>
                </c:pt>
                <c:pt idx="4">
                  <c:v>1</c:v>
                </c:pt>
              </c:numCache>
            </c:numRef>
          </c:val>
          <c:extLst xmlns:c15="http://schemas.microsoft.com/office/drawing/2012/chart">
            <c:ext xmlns:c16="http://schemas.microsoft.com/office/drawing/2014/chart" uri="{C3380CC4-5D6E-409C-BE32-E72D297353CC}">
              <c16:uniqueId val="{00000006-4BFD-48AF-AD6A-87FA26B24A03}"/>
            </c:ext>
          </c:extLst>
        </c:ser>
        <c:ser>
          <c:idx val="15"/>
          <c:order val="15"/>
          <c:tx>
            <c:strRef>
              <c:f>'PPT Work'!$A$60:$D$60</c:f>
              <c:strCache>
                <c:ptCount val="4"/>
                <c:pt idx="0">
                  <c:v>Stairs, ladders</c:v>
                </c:pt>
              </c:strCache>
              <c:extLst xmlns:c15="http://schemas.microsoft.com/office/drawing/2012/chart"/>
            </c:strRef>
          </c:tx>
          <c:spPr>
            <a:solidFill>
              <a:schemeClr val="accent4">
                <a:lumMod val="80000"/>
                <a:lumOff val="20000"/>
              </a:schemeClr>
            </a:solidFill>
            <a:ln>
              <a:noFill/>
            </a:ln>
            <a:effectLst/>
          </c:spPr>
          <c:invertIfNegative val="0"/>
          <c:cat>
            <c:strRef>
              <c:extLst>
                <c:ext xmlns:c15="http://schemas.microsoft.com/office/drawing/2012/chart" uri="{02D57815-91ED-43cb-92C2-25804820EDAC}">
                  <c15:fullRef>
                    <c15:sqref>'PPT Work'!$E$44:$P$44</c15:sqref>
                  </c15:fullRef>
                </c:ext>
              </c:extLst>
              <c:f>'PPT Work'!$E$44:$I$44</c:f>
              <c:strCache>
                <c:ptCount val="5"/>
                <c:pt idx="0">
                  <c:v>Jan</c:v>
                </c:pt>
                <c:pt idx="1">
                  <c:v>Feb</c:v>
                </c:pt>
                <c:pt idx="2">
                  <c:v>Mar</c:v>
                </c:pt>
                <c:pt idx="3">
                  <c:v>Apr</c:v>
                </c:pt>
                <c:pt idx="4">
                  <c:v>May</c:v>
                </c:pt>
              </c:strCache>
            </c:strRef>
          </c:cat>
          <c:val>
            <c:numRef>
              <c:extLst>
                <c:ext xmlns:c15="http://schemas.microsoft.com/office/drawing/2012/chart" uri="{02D57815-91ED-43cb-92C2-25804820EDAC}">
                  <c15:fullRef>
                    <c15:sqref>'PPT Work'!$E$60:$P$60</c15:sqref>
                  </c15:fullRef>
                </c:ext>
              </c:extLst>
              <c:f>'PPT Work'!$E$60:$I$60</c:f>
              <c:numCache>
                <c:formatCode>General</c:formatCode>
                <c:ptCount val="5"/>
                <c:pt idx="4">
                  <c:v>1</c:v>
                </c:pt>
              </c:numCache>
            </c:numRef>
          </c:val>
          <c:extLst xmlns:c15="http://schemas.microsoft.com/office/drawing/2012/chart">
            <c:ext xmlns:c16="http://schemas.microsoft.com/office/drawing/2014/chart" uri="{C3380CC4-5D6E-409C-BE32-E72D297353CC}">
              <c16:uniqueId val="{00000007-4BFD-48AF-AD6A-87FA26B24A03}"/>
            </c:ext>
          </c:extLst>
        </c:ser>
        <c:ser>
          <c:idx val="16"/>
          <c:order val="16"/>
          <c:tx>
            <c:strRef>
              <c:f>'PPT Work'!$A$61:$D$61</c:f>
              <c:strCache>
                <c:ptCount val="4"/>
                <c:pt idx="0">
                  <c:v>Tools</c:v>
                </c:pt>
              </c:strCache>
            </c:strRef>
          </c:tx>
          <c:spPr>
            <a:solidFill>
              <a:schemeClr val="accent5">
                <a:lumMod val="80000"/>
                <a:lumOff val="20000"/>
              </a:schemeClr>
            </a:solidFill>
            <a:ln>
              <a:noFill/>
            </a:ln>
            <a:effectLst/>
          </c:spPr>
          <c:invertIfNegative val="0"/>
          <c:cat>
            <c:strRef>
              <c:extLst>
                <c:ext xmlns:c15="http://schemas.microsoft.com/office/drawing/2012/chart" uri="{02D57815-91ED-43cb-92C2-25804820EDAC}">
                  <c15:fullRef>
                    <c15:sqref>'PPT Work'!$E$44:$P$44</c15:sqref>
                  </c15:fullRef>
                </c:ext>
              </c:extLst>
              <c:f>'PPT Work'!$E$44:$I$44</c:f>
              <c:strCache>
                <c:ptCount val="5"/>
                <c:pt idx="0">
                  <c:v>Jan</c:v>
                </c:pt>
                <c:pt idx="1">
                  <c:v>Feb</c:v>
                </c:pt>
                <c:pt idx="2">
                  <c:v>Mar</c:v>
                </c:pt>
                <c:pt idx="3">
                  <c:v>Apr</c:v>
                </c:pt>
                <c:pt idx="4">
                  <c:v>May</c:v>
                </c:pt>
              </c:strCache>
            </c:strRef>
          </c:cat>
          <c:val>
            <c:numRef>
              <c:extLst>
                <c:ext xmlns:c15="http://schemas.microsoft.com/office/drawing/2012/chart" uri="{02D57815-91ED-43cb-92C2-25804820EDAC}">
                  <c15:fullRef>
                    <c15:sqref>'PPT Work'!$E$61:$P$61</c15:sqref>
                  </c15:fullRef>
                </c:ext>
              </c:extLst>
              <c:f>'PPT Work'!$E$61:$I$61</c:f>
              <c:numCache>
                <c:formatCode>General</c:formatCode>
                <c:ptCount val="5"/>
                <c:pt idx="0">
                  <c:v>1</c:v>
                </c:pt>
                <c:pt idx="1">
                  <c:v>5</c:v>
                </c:pt>
                <c:pt idx="2">
                  <c:v>1</c:v>
                </c:pt>
                <c:pt idx="3">
                  <c:v>2</c:v>
                </c:pt>
              </c:numCache>
            </c:numRef>
          </c:val>
          <c:extLst>
            <c:ext xmlns:c16="http://schemas.microsoft.com/office/drawing/2014/chart" uri="{C3380CC4-5D6E-409C-BE32-E72D297353CC}">
              <c16:uniqueId val="{00000008-4BFD-48AF-AD6A-87FA26B24A03}"/>
            </c:ext>
          </c:extLst>
        </c:ser>
        <c:ser>
          <c:idx val="19"/>
          <c:order val="19"/>
          <c:tx>
            <c:strRef>
              <c:f>'PPT Work'!$A$64:$D$64</c:f>
              <c:strCache>
                <c:ptCount val="4"/>
                <c:pt idx="0">
                  <c:v>Walking working surface</c:v>
                </c:pt>
              </c:strCache>
            </c:strRef>
          </c:tx>
          <c:spPr>
            <a:solidFill>
              <a:schemeClr val="accent2">
                <a:lumMod val="80000"/>
              </a:schemeClr>
            </a:solidFill>
            <a:ln>
              <a:noFill/>
            </a:ln>
            <a:effectLst/>
          </c:spPr>
          <c:invertIfNegative val="0"/>
          <c:cat>
            <c:strRef>
              <c:extLst>
                <c:ext xmlns:c15="http://schemas.microsoft.com/office/drawing/2012/chart" uri="{02D57815-91ED-43cb-92C2-25804820EDAC}">
                  <c15:fullRef>
                    <c15:sqref>'PPT Work'!$E$44:$P$44</c15:sqref>
                  </c15:fullRef>
                </c:ext>
              </c:extLst>
              <c:f>'PPT Work'!$E$44:$I$44</c:f>
              <c:strCache>
                <c:ptCount val="5"/>
                <c:pt idx="0">
                  <c:v>Jan</c:v>
                </c:pt>
                <c:pt idx="1">
                  <c:v>Feb</c:v>
                </c:pt>
                <c:pt idx="2">
                  <c:v>Mar</c:v>
                </c:pt>
                <c:pt idx="3">
                  <c:v>Apr</c:v>
                </c:pt>
                <c:pt idx="4">
                  <c:v>May</c:v>
                </c:pt>
              </c:strCache>
            </c:strRef>
          </c:cat>
          <c:val>
            <c:numRef>
              <c:extLst>
                <c:ext xmlns:c15="http://schemas.microsoft.com/office/drawing/2012/chart" uri="{02D57815-91ED-43cb-92C2-25804820EDAC}">
                  <c15:fullRef>
                    <c15:sqref>'PPT Work'!$E$64:$P$64</c15:sqref>
                  </c15:fullRef>
                </c:ext>
              </c:extLst>
              <c:f>'PPT Work'!$E$64:$I$64</c:f>
              <c:numCache>
                <c:formatCode>General</c:formatCode>
                <c:ptCount val="5"/>
                <c:pt idx="1">
                  <c:v>2</c:v>
                </c:pt>
                <c:pt idx="4">
                  <c:v>3</c:v>
                </c:pt>
              </c:numCache>
            </c:numRef>
          </c:val>
          <c:extLst>
            <c:ext xmlns:c16="http://schemas.microsoft.com/office/drawing/2014/chart" uri="{C3380CC4-5D6E-409C-BE32-E72D297353CC}">
              <c16:uniqueId val="{0000000B-4BFD-48AF-AD6A-87FA26B24A03}"/>
            </c:ext>
          </c:extLst>
        </c:ser>
        <c:ser>
          <c:idx val="20"/>
          <c:order val="20"/>
          <c:tx>
            <c:strRef>
              <c:f>'PPT Work'!$A$65:$D$65</c:f>
              <c:strCache>
                <c:ptCount val="4"/>
                <c:pt idx="0">
                  <c:v>Work at elevation</c:v>
                </c:pt>
              </c:strCache>
            </c:strRef>
          </c:tx>
          <c:spPr>
            <a:solidFill>
              <a:schemeClr val="accent3">
                <a:lumMod val="80000"/>
              </a:schemeClr>
            </a:solidFill>
            <a:ln>
              <a:noFill/>
            </a:ln>
            <a:effectLst/>
          </c:spPr>
          <c:invertIfNegative val="0"/>
          <c:cat>
            <c:strRef>
              <c:extLst>
                <c:ext xmlns:c15="http://schemas.microsoft.com/office/drawing/2012/chart" uri="{02D57815-91ED-43cb-92C2-25804820EDAC}">
                  <c15:fullRef>
                    <c15:sqref>'PPT Work'!$E$44:$P$44</c15:sqref>
                  </c15:fullRef>
                </c:ext>
              </c:extLst>
              <c:f>'PPT Work'!$E$44:$I$44</c:f>
              <c:strCache>
                <c:ptCount val="5"/>
                <c:pt idx="0">
                  <c:v>Jan</c:v>
                </c:pt>
                <c:pt idx="1">
                  <c:v>Feb</c:v>
                </c:pt>
                <c:pt idx="2">
                  <c:v>Mar</c:v>
                </c:pt>
                <c:pt idx="3">
                  <c:v>Apr</c:v>
                </c:pt>
                <c:pt idx="4">
                  <c:v>May</c:v>
                </c:pt>
              </c:strCache>
            </c:strRef>
          </c:cat>
          <c:val>
            <c:numRef>
              <c:extLst>
                <c:ext xmlns:c15="http://schemas.microsoft.com/office/drawing/2012/chart" uri="{02D57815-91ED-43cb-92C2-25804820EDAC}">
                  <c15:fullRef>
                    <c15:sqref>'PPT Work'!$E$65:$P$65</c15:sqref>
                  </c15:fullRef>
                </c:ext>
              </c:extLst>
              <c:f>'PPT Work'!$E$65:$I$65</c:f>
              <c:numCache>
                <c:formatCode>General</c:formatCode>
                <c:ptCount val="5"/>
                <c:pt idx="0">
                  <c:v>1</c:v>
                </c:pt>
                <c:pt idx="1">
                  <c:v>1</c:v>
                </c:pt>
              </c:numCache>
            </c:numRef>
          </c:val>
          <c:extLst>
            <c:ext xmlns:c16="http://schemas.microsoft.com/office/drawing/2014/chart" uri="{C3380CC4-5D6E-409C-BE32-E72D297353CC}">
              <c16:uniqueId val="{0000000C-4BFD-48AF-AD6A-87FA26B24A03}"/>
            </c:ext>
          </c:extLst>
        </c:ser>
        <c:dLbls>
          <c:showLegendKey val="0"/>
          <c:showVal val="0"/>
          <c:showCatName val="0"/>
          <c:showSerName val="0"/>
          <c:showPercent val="0"/>
          <c:showBubbleSize val="0"/>
        </c:dLbls>
        <c:gapWidth val="219"/>
        <c:axId val="765021896"/>
        <c:axId val="765021176"/>
        <c:extLst>
          <c:ext xmlns:c15="http://schemas.microsoft.com/office/drawing/2012/chart" uri="{02D57815-91ED-43cb-92C2-25804820EDAC}">
            <c15:filteredBarSeries>
              <c15:ser>
                <c:idx val="2"/>
                <c:order val="2"/>
                <c:tx>
                  <c:strRef>
                    <c:extLst>
                      <c:ext uri="{02D57815-91ED-43cb-92C2-25804820EDAC}">
                        <c15:formulaRef>
                          <c15:sqref>'PPT Work'!$A$47:$D$47</c15:sqref>
                        </c15:formulaRef>
                      </c:ext>
                    </c:extLst>
                    <c:strCache>
                      <c:ptCount val="4"/>
                      <c:pt idx="0">
                        <c:v>Confined Space</c:v>
                      </c:pt>
                    </c:strCache>
                  </c:strRef>
                </c:tx>
                <c:spPr>
                  <a:solidFill>
                    <a:schemeClr val="accent3"/>
                  </a:solidFill>
                  <a:ln>
                    <a:noFill/>
                  </a:ln>
                  <a:effectLst/>
                </c:spPr>
                <c:invertIfNegative val="0"/>
                <c:cat>
                  <c:strRef>
                    <c:extLst>
                      <c:ext uri="{02D57815-91ED-43cb-92C2-25804820EDAC}">
                        <c15:fullRef>
                          <c15:sqref>'PPT Work'!$E$44:$P$44</c15:sqref>
                        </c15:fullRef>
                        <c15:formulaRef>
                          <c15:sqref>'PPT Work'!$E$44:$I$44</c15:sqref>
                        </c15:formulaRef>
                      </c:ext>
                    </c:extLst>
                    <c:strCache>
                      <c:ptCount val="5"/>
                      <c:pt idx="0">
                        <c:v>Jan</c:v>
                      </c:pt>
                      <c:pt idx="1">
                        <c:v>Feb</c:v>
                      </c:pt>
                      <c:pt idx="2">
                        <c:v>Mar</c:v>
                      </c:pt>
                      <c:pt idx="3">
                        <c:v>Apr</c:v>
                      </c:pt>
                      <c:pt idx="4">
                        <c:v>May</c:v>
                      </c:pt>
                    </c:strCache>
                  </c:strRef>
                </c:cat>
                <c:val>
                  <c:numRef>
                    <c:extLst>
                      <c:ext uri="{02D57815-91ED-43cb-92C2-25804820EDAC}">
                        <c15:fullRef>
                          <c15:sqref>'PPT Work'!$E$47:$P$47</c15:sqref>
                        </c15:fullRef>
                        <c15:formulaRef>
                          <c15:sqref>'PPT Work'!$E$47:$I$47</c15:sqref>
                        </c15:formulaRef>
                      </c:ext>
                    </c:extLst>
                    <c:numCache>
                      <c:formatCode>General</c:formatCode>
                      <c:ptCount val="5"/>
                    </c:numCache>
                  </c:numRef>
                </c:val>
                <c:extLst>
                  <c:ext xmlns:c16="http://schemas.microsoft.com/office/drawing/2014/chart" uri="{C3380CC4-5D6E-409C-BE32-E72D297353CC}">
                    <c16:uniqueId val="{00000001-429D-42AA-B207-887523A49374}"/>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'PPT Work'!$A$49:$D$49</c15:sqref>
                        </c15:formulaRef>
                      </c:ext>
                    </c:extLst>
                    <c:strCache>
                      <c:ptCount val="4"/>
                      <c:pt idx="0">
                        <c:v>Ergonomics</c:v>
                      </c:pt>
                    </c:strCache>
                  </c:strRef>
                </c:tx>
                <c:spPr>
                  <a:solidFill>
                    <a:schemeClr val="accent5"/>
                  </a:solidFill>
                  <a:ln>
                    <a:noFill/>
                  </a:ln>
                  <a:effectLst/>
                </c:spPr>
                <c:invertIfNegative val="0"/>
                <c:cat>
                  <c:strRef>
                    <c:extLst>
                      <c:ext xmlns:c15="http://schemas.microsoft.com/office/drawing/2012/chart" uri="{02D57815-91ED-43cb-92C2-25804820EDAC}">
                        <c15:fullRef>
                          <c15:sqref>'PPT Work'!$E$44:$P$44</c15:sqref>
                        </c15:fullRef>
                        <c15:formulaRef>
                          <c15:sqref>'PPT Work'!$E$44:$I$44</c15:sqref>
                        </c15:formulaRef>
                      </c:ext>
                    </c:extLst>
                    <c:strCache>
                      <c:ptCount val="5"/>
                      <c:pt idx="0">
                        <c:v>Jan</c:v>
                      </c:pt>
                      <c:pt idx="1">
                        <c:v>Feb</c:v>
                      </c:pt>
                      <c:pt idx="2">
                        <c:v>Mar</c:v>
                      </c:pt>
                      <c:pt idx="3">
                        <c:v>Apr</c:v>
                      </c:pt>
                      <c:pt idx="4">
                        <c:v>May</c:v>
                      </c:pt>
                    </c:strCache>
                  </c:strRef>
                </c:cat>
                <c:val>
                  <c:numRef>
                    <c:extLst>
                      <c:ext xmlns:c15="http://schemas.microsoft.com/office/drawing/2012/chart" uri="{02D57815-91ED-43cb-92C2-25804820EDAC}">
                        <c15:fullRef>
                          <c15:sqref>'PPT Work'!$E$49:$P$49</c15:sqref>
                        </c15:fullRef>
                        <c15:formulaRef>
                          <c15:sqref>'PPT Work'!$E$49:$I$49</c15:sqref>
                        </c15:formulaRef>
                      </c:ext>
                    </c:extLst>
                    <c:numCache>
                      <c:formatCode>General</c:formatCode>
                      <c:ptCount val="5"/>
                    </c:numCache>
                  </c:numRef>
                </c:val>
                <c:extLst xmlns:c15="http://schemas.microsoft.com/office/drawing/2012/chart">
                  <c:ext xmlns:c16="http://schemas.microsoft.com/office/drawing/2014/chart" uri="{C3380CC4-5D6E-409C-BE32-E72D297353CC}">
                    <c16:uniqueId val="{00000007-429D-42AA-B207-887523A49374}"/>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'PPT Work'!$A$50:$D$50</c15:sqref>
                        </c15:formulaRef>
                      </c:ext>
                    </c:extLst>
                    <c:strCache>
                      <c:ptCount val="4"/>
                      <c:pt idx="0">
                        <c:v>Fire</c:v>
                      </c:pt>
                    </c:strCache>
                  </c:strRef>
                </c:tx>
                <c:spPr>
                  <a:solidFill>
                    <a:schemeClr val="accent6"/>
                  </a:solidFill>
                  <a:ln>
                    <a:noFill/>
                  </a:ln>
                  <a:effectLst/>
                </c:spPr>
                <c:invertIfNegative val="0"/>
                <c:cat>
                  <c:strRef>
                    <c:extLst>
                      <c:ext xmlns:c15="http://schemas.microsoft.com/office/drawing/2012/chart" uri="{02D57815-91ED-43cb-92C2-25804820EDAC}">
                        <c15:fullRef>
                          <c15:sqref>'PPT Work'!$E$44:$P$44</c15:sqref>
                        </c15:fullRef>
                        <c15:formulaRef>
                          <c15:sqref>'PPT Work'!$E$44:$I$44</c15:sqref>
                        </c15:formulaRef>
                      </c:ext>
                    </c:extLst>
                    <c:strCache>
                      <c:ptCount val="5"/>
                      <c:pt idx="0">
                        <c:v>Jan</c:v>
                      </c:pt>
                      <c:pt idx="1">
                        <c:v>Feb</c:v>
                      </c:pt>
                      <c:pt idx="2">
                        <c:v>Mar</c:v>
                      </c:pt>
                      <c:pt idx="3">
                        <c:v>Apr</c:v>
                      </c:pt>
                      <c:pt idx="4">
                        <c:v>May</c:v>
                      </c:pt>
                    </c:strCache>
                  </c:strRef>
                </c:cat>
                <c:val>
                  <c:numRef>
                    <c:extLst>
                      <c:ext xmlns:c15="http://schemas.microsoft.com/office/drawing/2012/chart" uri="{02D57815-91ED-43cb-92C2-25804820EDAC}">
                        <c15:fullRef>
                          <c15:sqref>'PPT Work'!$E$50:$P$50</c15:sqref>
                        </c15:fullRef>
                        <c15:formulaRef>
                          <c15:sqref>'PPT Work'!$E$50:$I$50</c15:sqref>
                        </c15:formulaRef>
                      </c:ext>
                    </c:extLst>
                    <c:numCache>
                      <c:formatCode>General</c:formatCode>
                      <c:ptCount val="5"/>
                      <c:pt idx="3">
                        <c:v>1</c:v>
                      </c:pt>
                      <c:pt idx="4">
                        <c:v>1</c:v>
                      </c:pt>
                    </c:numCache>
                  </c:numRef>
                </c:val>
                <c:extLst xmlns:c15="http://schemas.microsoft.com/office/drawing/2012/chart">
                  <c:ext xmlns:c16="http://schemas.microsoft.com/office/drawing/2014/chart" uri="{C3380CC4-5D6E-409C-BE32-E72D297353CC}">
                    <c16:uniqueId val="{00000003-429D-42AA-B207-887523A49374}"/>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'PPT Work'!$A$53:$D$53</c15:sqref>
                        </c15:formulaRef>
                      </c:ext>
                    </c:extLst>
                    <c:strCache>
                      <c:ptCount val="4"/>
                      <c:pt idx="0">
                        <c:v>LOTO</c:v>
                      </c:pt>
                    </c:strCache>
                  </c:strRef>
                </c:tx>
                <c:spPr>
                  <a:solidFill>
                    <a:schemeClr val="accent3">
                      <a:lumMod val="60000"/>
                    </a:schemeClr>
                  </a:solidFill>
                  <a:ln>
                    <a:noFill/>
                  </a:ln>
                  <a:effectLst/>
                </c:spPr>
                <c:invertIfNegative val="0"/>
                <c:cat>
                  <c:strRef>
                    <c:extLst>
                      <c:ext xmlns:c15="http://schemas.microsoft.com/office/drawing/2012/chart" uri="{02D57815-91ED-43cb-92C2-25804820EDAC}">
                        <c15:fullRef>
                          <c15:sqref>'PPT Work'!$E$44:$P$44</c15:sqref>
                        </c15:fullRef>
                        <c15:formulaRef>
                          <c15:sqref>'PPT Work'!$E$44:$I$44</c15:sqref>
                        </c15:formulaRef>
                      </c:ext>
                    </c:extLst>
                    <c:strCache>
                      <c:ptCount val="5"/>
                      <c:pt idx="0">
                        <c:v>Jan</c:v>
                      </c:pt>
                      <c:pt idx="1">
                        <c:v>Feb</c:v>
                      </c:pt>
                      <c:pt idx="2">
                        <c:v>Mar</c:v>
                      </c:pt>
                      <c:pt idx="3">
                        <c:v>Apr</c:v>
                      </c:pt>
                      <c:pt idx="4">
                        <c:v>May</c:v>
                      </c:pt>
                    </c:strCache>
                  </c:strRef>
                </c:cat>
                <c:val>
                  <c:numRef>
                    <c:extLst>
                      <c:ext xmlns:c15="http://schemas.microsoft.com/office/drawing/2012/chart" uri="{02D57815-91ED-43cb-92C2-25804820EDAC}">
                        <c15:fullRef>
                          <c15:sqref>'PPT Work'!$E$53:$P$53</c15:sqref>
                        </c15:fullRef>
                        <c15:formulaRef>
                          <c15:sqref>'PPT Work'!$E$53:$I$53</c15:sqref>
                        </c15:formulaRef>
                      </c:ext>
                    </c:extLst>
                    <c:numCache>
                      <c:formatCode>General</c:formatCode>
                      <c:ptCount val="5"/>
                    </c:numCache>
                  </c:numRef>
                </c:val>
                <c:extLst xmlns:c15="http://schemas.microsoft.com/office/drawing/2012/chart">
                  <c:ext xmlns:c16="http://schemas.microsoft.com/office/drawing/2014/chart" uri="{C3380CC4-5D6E-409C-BE32-E72D297353CC}">
                    <c16:uniqueId val="{00000000-4BFD-48AF-AD6A-87FA26B24A03}"/>
                  </c:ext>
                </c:extLst>
              </c15:ser>
            </c15:filteredBarSeries>
            <c15:filteredBarSeries>
              <c15:ser>
                <c:idx val="10"/>
                <c:order val="10"/>
                <c:tx>
                  <c:strRef>
                    <c:extLst xmlns:c15="http://schemas.microsoft.com/office/drawing/2012/chart">
                      <c:ext xmlns:c15="http://schemas.microsoft.com/office/drawing/2012/chart" uri="{02D57815-91ED-43cb-92C2-25804820EDAC}">
                        <c15:formulaRef>
                          <c15:sqref>'PPT Work'!$A$55:$D$55</c15:sqref>
                        </c15:formulaRef>
                      </c:ext>
                    </c:extLst>
                    <c:strCache>
                      <c:ptCount val="4"/>
                      <c:pt idx="0">
                        <c:v>Material handling or lifiting </c:v>
                      </c:pt>
                    </c:strCache>
                  </c:strRef>
                </c:tx>
                <c:spPr>
                  <a:solidFill>
                    <a:schemeClr val="accent5">
                      <a:lumMod val="60000"/>
                    </a:schemeClr>
                  </a:solidFill>
                  <a:ln>
                    <a:noFill/>
                  </a:ln>
                  <a:effectLst/>
                </c:spPr>
                <c:invertIfNegative val="0"/>
                <c:cat>
                  <c:strRef>
                    <c:extLst>
                      <c:ext xmlns:c15="http://schemas.microsoft.com/office/drawing/2012/chart" uri="{02D57815-91ED-43cb-92C2-25804820EDAC}">
                        <c15:fullRef>
                          <c15:sqref>'PPT Work'!$E$44:$P$44</c15:sqref>
                        </c15:fullRef>
                        <c15:formulaRef>
                          <c15:sqref>'PPT Work'!$E$44:$I$44</c15:sqref>
                        </c15:formulaRef>
                      </c:ext>
                    </c:extLst>
                    <c:strCache>
                      <c:ptCount val="5"/>
                      <c:pt idx="0">
                        <c:v>Jan</c:v>
                      </c:pt>
                      <c:pt idx="1">
                        <c:v>Feb</c:v>
                      </c:pt>
                      <c:pt idx="2">
                        <c:v>Mar</c:v>
                      </c:pt>
                      <c:pt idx="3">
                        <c:v>Apr</c:v>
                      </c:pt>
                      <c:pt idx="4">
                        <c:v>May</c:v>
                      </c:pt>
                    </c:strCache>
                  </c:strRef>
                </c:cat>
                <c:val>
                  <c:numRef>
                    <c:extLst>
                      <c:ext xmlns:c15="http://schemas.microsoft.com/office/drawing/2012/chart" uri="{02D57815-91ED-43cb-92C2-25804820EDAC}">
                        <c15:fullRef>
                          <c15:sqref>'PPT Work'!$E$55:$P$55</c15:sqref>
                        </c15:fullRef>
                        <c15:formulaRef>
                          <c15:sqref>'PPT Work'!$E$55:$I$55</c15:sqref>
                        </c15:formulaRef>
                      </c:ext>
                    </c:extLst>
                    <c:numCache>
                      <c:formatCode>General</c:formatCode>
                      <c:ptCount val="5"/>
                    </c:numCache>
                  </c:numRef>
                </c:val>
                <c:extLst xmlns:c15="http://schemas.microsoft.com/office/drawing/2012/chart">
                  <c:ext xmlns:c16="http://schemas.microsoft.com/office/drawing/2014/chart" uri="{C3380CC4-5D6E-409C-BE32-E72D297353CC}">
                    <c16:uniqueId val="{00000002-4BFD-48AF-AD6A-87FA26B24A03}"/>
                  </c:ext>
                </c:extLst>
              </c15:ser>
            </c15:filteredBarSeries>
            <c15:filteredBarSeries>
              <c15:ser>
                <c:idx val="11"/>
                <c:order val="11"/>
                <c:tx>
                  <c:strRef>
                    <c:extLst xmlns:c15="http://schemas.microsoft.com/office/drawing/2012/chart">
                      <c:ext xmlns:c15="http://schemas.microsoft.com/office/drawing/2012/chart" uri="{02D57815-91ED-43cb-92C2-25804820EDAC}">
                        <c15:formulaRef>
                          <c15:sqref>'PPT Work'!$A$56:$D$56</c15:sqref>
                        </c15:formulaRef>
                      </c:ext>
                    </c:extLst>
                    <c:strCache>
                      <c:ptCount val="4"/>
                      <c:pt idx="0">
                        <c:v>Non work related </c:v>
                      </c:pt>
                    </c:strCache>
                  </c:strRef>
                </c:tx>
                <c:spPr>
                  <a:solidFill>
                    <a:schemeClr val="accent6">
                      <a:lumMod val="60000"/>
                    </a:schemeClr>
                  </a:solidFill>
                  <a:ln>
                    <a:noFill/>
                  </a:ln>
                  <a:effectLst/>
                </c:spPr>
                <c:invertIfNegative val="0"/>
                <c:cat>
                  <c:strRef>
                    <c:extLst>
                      <c:ext xmlns:c15="http://schemas.microsoft.com/office/drawing/2012/chart" uri="{02D57815-91ED-43cb-92C2-25804820EDAC}">
                        <c15:fullRef>
                          <c15:sqref>'PPT Work'!$E$44:$P$44</c15:sqref>
                        </c15:fullRef>
                        <c15:formulaRef>
                          <c15:sqref>'PPT Work'!$E$44:$I$44</c15:sqref>
                        </c15:formulaRef>
                      </c:ext>
                    </c:extLst>
                    <c:strCache>
                      <c:ptCount val="5"/>
                      <c:pt idx="0">
                        <c:v>Jan</c:v>
                      </c:pt>
                      <c:pt idx="1">
                        <c:v>Feb</c:v>
                      </c:pt>
                      <c:pt idx="2">
                        <c:v>Mar</c:v>
                      </c:pt>
                      <c:pt idx="3">
                        <c:v>Apr</c:v>
                      </c:pt>
                      <c:pt idx="4">
                        <c:v>May</c:v>
                      </c:pt>
                    </c:strCache>
                  </c:strRef>
                </c:cat>
                <c:val>
                  <c:numRef>
                    <c:extLst>
                      <c:ext xmlns:c15="http://schemas.microsoft.com/office/drawing/2012/chart" uri="{02D57815-91ED-43cb-92C2-25804820EDAC}">
                        <c15:fullRef>
                          <c15:sqref>'PPT Work'!$E$56:$P$56</c15:sqref>
                        </c15:fullRef>
                        <c15:formulaRef>
                          <c15:sqref>'PPT Work'!$E$56:$I$56</c15:sqref>
                        </c15:formulaRef>
                      </c:ext>
                    </c:extLst>
                    <c:numCache>
                      <c:formatCode>General</c:formatCode>
                      <c:ptCount val="5"/>
                    </c:numCache>
                  </c:numRef>
                </c:val>
                <c:extLst xmlns:c15="http://schemas.microsoft.com/office/drawing/2012/chart">
                  <c:ext xmlns:c16="http://schemas.microsoft.com/office/drawing/2014/chart" uri="{C3380CC4-5D6E-409C-BE32-E72D297353CC}">
                    <c16:uniqueId val="{00000003-4BFD-48AF-AD6A-87FA26B24A03}"/>
                  </c:ext>
                </c:extLst>
              </c15:ser>
            </c15:filteredBarSeries>
            <c15:filteredBarSeries>
              <c15:ser>
                <c:idx val="17"/>
                <c:order val="17"/>
                <c:tx>
                  <c:strRef>
                    <c:extLst xmlns:c15="http://schemas.microsoft.com/office/drawing/2012/chart">
                      <c:ext xmlns:c15="http://schemas.microsoft.com/office/drawing/2012/chart" uri="{02D57815-91ED-43cb-92C2-25804820EDAC}">
                        <c15:formulaRef>
                          <c15:sqref>'PPT Work'!$A$62:$D$62</c15:sqref>
                        </c15:formulaRef>
                      </c:ext>
                    </c:extLst>
                    <c:strCache>
                      <c:ptCount val="4"/>
                      <c:pt idx="0">
                        <c:v>Vehicle company owned </c:v>
                      </c:pt>
                    </c:strCache>
                  </c:strRef>
                </c:tx>
                <c:spPr>
                  <a:solidFill>
                    <a:schemeClr val="accent6">
                      <a:lumMod val="80000"/>
                      <a:lumOff val="20000"/>
                    </a:schemeClr>
                  </a:solidFill>
                  <a:ln>
                    <a:noFill/>
                  </a:ln>
                  <a:effectLst/>
                </c:spPr>
                <c:invertIfNegative val="0"/>
                <c:cat>
                  <c:strRef>
                    <c:extLst>
                      <c:ext xmlns:c15="http://schemas.microsoft.com/office/drawing/2012/chart" uri="{02D57815-91ED-43cb-92C2-25804820EDAC}">
                        <c15:fullRef>
                          <c15:sqref>'PPT Work'!$E$44:$P$44</c15:sqref>
                        </c15:fullRef>
                        <c15:formulaRef>
                          <c15:sqref>'PPT Work'!$E$44:$I$44</c15:sqref>
                        </c15:formulaRef>
                      </c:ext>
                    </c:extLst>
                    <c:strCache>
                      <c:ptCount val="5"/>
                      <c:pt idx="0">
                        <c:v>Jan</c:v>
                      </c:pt>
                      <c:pt idx="1">
                        <c:v>Feb</c:v>
                      </c:pt>
                      <c:pt idx="2">
                        <c:v>Mar</c:v>
                      </c:pt>
                      <c:pt idx="3">
                        <c:v>Apr</c:v>
                      </c:pt>
                      <c:pt idx="4">
                        <c:v>May</c:v>
                      </c:pt>
                    </c:strCache>
                  </c:strRef>
                </c:cat>
                <c:val>
                  <c:numRef>
                    <c:extLst>
                      <c:ext xmlns:c15="http://schemas.microsoft.com/office/drawing/2012/chart" uri="{02D57815-91ED-43cb-92C2-25804820EDAC}">
                        <c15:fullRef>
                          <c15:sqref>'PPT Work'!$E$62:$P$62</c15:sqref>
                        </c15:fullRef>
                        <c15:formulaRef>
                          <c15:sqref>'PPT Work'!$E$62:$I$62</c15:sqref>
                        </c15:formulaRef>
                      </c:ext>
                    </c:extLst>
                    <c:numCache>
                      <c:formatCode>General</c:formatCode>
                      <c:ptCount val="5"/>
                    </c:numCache>
                  </c:numRef>
                </c:val>
                <c:extLst xmlns:c15="http://schemas.microsoft.com/office/drawing/2012/chart">
                  <c:ext xmlns:c16="http://schemas.microsoft.com/office/drawing/2014/chart" uri="{C3380CC4-5D6E-409C-BE32-E72D297353CC}">
                    <c16:uniqueId val="{00000009-4BFD-48AF-AD6A-87FA26B24A03}"/>
                  </c:ext>
                </c:extLst>
              </c15:ser>
            </c15:filteredBarSeries>
            <c15:filteredBarSeries>
              <c15:ser>
                <c:idx val="18"/>
                <c:order val="18"/>
                <c:tx>
                  <c:strRef>
                    <c:extLst xmlns:c15="http://schemas.microsoft.com/office/drawing/2012/chart">
                      <c:ext xmlns:c15="http://schemas.microsoft.com/office/drawing/2012/chart" uri="{02D57815-91ED-43cb-92C2-25804820EDAC}">
                        <c15:formulaRef>
                          <c15:sqref>'PPT Work'!$A$63:$D$63</c15:sqref>
                        </c15:formulaRef>
                      </c:ext>
                    </c:extLst>
                    <c:strCache>
                      <c:ptCount val="4"/>
                      <c:pt idx="0">
                        <c:v>Vehicle not company owned </c:v>
                      </c:pt>
                    </c:strCache>
                  </c:strRef>
                </c:tx>
                <c:spPr>
                  <a:solidFill>
                    <a:schemeClr val="accent1">
                      <a:lumMod val="80000"/>
                    </a:schemeClr>
                  </a:solidFill>
                  <a:ln>
                    <a:noFill/>
                  </a:ln>
                  <a:effectLst/>
                </c:spPr>
                <c:invertIfNegative val="0"/>
                <c:cat>
                  <c:strRef>
                    <c:extLst>
                      <c:ext xmlns:c15="http://schemas.microsoft.com/office/drawing/2012/chart" uri="{02D57815-91ED-43cb-92C2-25804820EDAC}">
                        <c15:fullRef>
                          <c15:sqref>'PPT Work'!$E$44:$P$44</c15:sqref>
                        </c15:fullRef>
                        <c15:formulaRef>
                          <c15:sqref>'PPT Work'!$E$44:$I$44</c15:sqref>
                        </c15:formulaRef>
                      </c:ext>
                    </c:extLst>
                    <c:strCache>
                      <c:ptCount val="5"/>
                      <c:pt idx="0">
                        <c:v>Jan</c:v>
                      </c:pt>
                      <c:pt idx="1">
                        <c:v>Feb</c:v>
                      </c:pt>
                      <c:pt idx="2">
                        <c:v>Mar</c:v>
                      </c:pt>
                      <c:pt idx="3">
                        <c:v>Apr</c:v>
                      </c:pt>
                      <c:pt idx="4">
                        <c:v>May</c:v>
                      </c:pt>
                    </c:strCache>
                  </c:strRef>
                </c:cat>
                <c:val>
                  <c:numRef>
                    <c:extLst>
                      <c:ext xmlns:c15="http://schemas.microsoft.com/office/drawing/2012/chart" uri="{02D57815-91ED-43cb-92C2-25804820EDAC}">
                        <c15:fullRef>
                          <c15:sqref>'PPT Work'!$E$63:$P$63</c15:sqref>
                        </c15:fullRef>
                        <c15:formulaRef>
                          <c15:sqref>'PPT Work'!$E$63:$I$63</c15:sqref>
                        </c15:formulaRef>
                      </c:ext>
                    </c:extLst>
                    <c:numCache>
                      <c:formatCode>General</c:formatCode>
                      <c:ptCount val="5"/>
                    </c:numCache>
                  </c:numRef>
                </c:val>
                <c:extLst xmlns:c15="http://schemas.microsoft.com/office/drawing/2012/chart">
                  <c:ext xmlns:c16="http://schemas.microsoft.com/office/drawing/2014/chart" uri="{C3380CC4-5D6E-409C-BE32-E72D297353CC}">
                    <c16:uniqueId val="{0000000A-4BFD-48AF-AD6A-87FA26B24A03}"/>
                  </c:ext>
                </c:extLst>
              </c15:ser>
            </c15:filteredBarSeries>
          </c:ext>
        </c:extLst>
      </c:barChart>
      <c:catAx>
        <c:axId val="765021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021176"/>
        <c:crosses val="autoZero"/>
        <c:auto val="1"/>
        <c:lblAlgn val="ctr"/>
        <c:lblOffset val="100"/>
        <c:noMultiLvlLbl val="0"/>
      </c:catAx>
      <c:valAx>
        <c:axId val="7650211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021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Safe</a:t>
            </a:r>
            <a:r>
              <a:rPr lang="en-US" baseline="0"/>
              <a:t> Observations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6"/>
          <c:order val="6"/>
          <c:tx>
            <c:strRef>
              <c:f>'PPT Work'!$A$78:$H$78</c:f>
              <c:strCache>
                <c:ptCount val="8"/>
                <c:pt idx="0">
                  <c:v>Forklift</c:v>
                </c:pt>
                <c:pt idx="5">
                  <c:v>2</c:v>
                </c:pt>
                <c:pt idx="6">
                  <c:v>4</c:v>
                </c:pt>
              </c:strCache>
            </c:strRef>
          </c:tx>
          <c:spPr>
            <a:solidFill>
              <a:schemeClr val="accent1">
                <a:lumMod val="60000"/>
              </a:schemeClr>
            </a:solidFill>
            <a:ln>
              <a:noFill/>
            </a:ln>
            <a:effectLst/>
          </c:spPr>
          <c:invertIfNegative val="0"/>
          <c:cat>
            <c:strRef>
              <c:extLst>
                <c:ext xmlns:c15="http://schemas.microsoft.com/office/drawing/2012/chart" uri="{02D57815-91ED-43cb-92C2-25804820EDAC}">
                  <c15:fullRef>
                    <c15:sqref>'PPT Work'!$I$71:$P$71</c15:sqref>
                  </c15:fullRef>
                </c:ext>
              </c:extLst>
              <c:f>'PPT Work'!$I$71:$M$71</c:f>
              <c:strCache>
                <c:ptCount val="5"/>
                <c:pt idx="0">
                  <c:v>May</c:v>
                </c:pt>
                <c:pt idx="1">
                  <c:v>Jun</c:v>
                </c:pt>
                <c:pt idx="2">
                  <c:v>Jul</c:v>
                </c:pt>
                <c:pt idx="3">
                  <c:v>Aug</c:v>
                </c:pt>
                <c:pt idx="4">
                  <c:v>Sep</c:v>
                </c:pt>
              </c:strCache>
            </c:strRef>
          </c:cat>
          <c:val>
            <c:numRef>
              <c:extLst>
                <c:ext xmlns:c15="http://schemas.microsoft.com/office/drawing/2012/chart" uri="{02D57815-91ED-43cb-92C2-25804820EDAC}">
                  <c15:fullRef>
                    <c15:sqref>'PPT Work'!$I$78:$P$78</c15:sqref>
                  </c15:fullRef>
                </c:ext>
              </c:extLst>
              <c:f>'PPT Work'!$I$78:$M$78</c:f>
              <c:numCache>
                <c:formatCode>General</c:formatCode>
                <c:ptCount val="5"/>
              </c:numCache>
            </c:numRef>
          </c:val>
          <c:extLst>
            <c:ext xmlns:c16="http://schemas.microsoft.com/office/drawing/2014/chart" uri="{C3380CC4-5D6E-409C-BE32-E72D297353CC}">
              <c16:uniqueId val="{00000004-23F1-4C78-ADBB-AC4E9619E095}"/>
            </c:ext>
          </c:extLst>
        </c:ser>
        <c:ser>
          <c:idx val="7"/>
          <c:order val="7"/>
          <c:tx>
            <c:strRef>
              <c:f>'PPT Work'!$A$79:$H$79</c:f>
              <c:strCache>
                <c:ptCount val="8"/>
                <c:pt idx="0">
                  <c:v>Housekeepng</c:v>
                </c:pt>
                <c:pt idx="5">
                  <c:v>1</c:v>
                </c:pt>
                <c:pt idx="6">
                  <c:v>4</c:v>
                </c:pt>
                <c:pt idx="7">
                  <c:v>2</c:v>
                </c:pt>
              </c:strCache>
            </c:strRef>
          </c:tx>
          <c:spPr>
            <a:solidFill>
              <a:schemeClr val="accent2">
                <a:lumMod val="60000"/>
              </a:schemeClr>
            </a:solidFill>
            <a:ln>
              <a:noFill/>
            </a:ln>
            <a:effectLst/>
          </c:spPr>
          <c:invertIfNegative val="0"/>
          <c:cat>
            <c:strRef>
              <c:extLst>
                <c:ext xmlns:c15="http://schemas.microsoft.com/office/drawing/2012/chart" uri="{02D57815-91ED-43cb-92C2-25804820EDAC}">
                  <c15:fullRef>
                    <c15:sqref>'PPT Work'!$E$71:$P$71</c15:sqref>
                  </c15:fullRef>
                </c:ext>
              </c:extLst>
              <c:f>'PPT Work'!$E$71:$I$71</c:f>
              <c:strCache>
                <c:ptCount val="5"/>
                <c:pt idx="0">
                  <c:v>Jan</c:v>
                </c:pt>
                <c:pt idx="1">
                  <c:v>Feb</c:v>
                </c:pt>
                <c:pt idx="2">
                  <c:v>Mar</c:v>
                </c:pt>
                <c:pt idx="3">
                  <c:v>Apr</c:v>
                </c:pt>
                <c:pt idx="4">
                  <c:v>May</c:v>
                </c:pt>
                <c:pt idx="5">
                  <c:v>Sep</c:v>
                </c:pt>
                <c:pt idx="6">
                  <c:v>Oct</c:v>
                </c:pt>
                <c:pt idx="7">
                  <c:v>Nov</c:v>
                </c:pt>
                <c:pt idx="8">
                  <c:v>Dec</c:v>
                </c:pt>
              </c:strCache>
            </c:strRef>
          </c:cat>
          <c:val>
            <c:numRef>
              <c:extLst>
                <c:ext xmlns:c15="http://schemas.microsoft.com/office/drawing/2012/chart" uri="{02D57815-91ED-43cb-92C2-25804820EDAC}">
                  <c15:fullRef>
                    <c15:sqref>'PPT Work'!$I$79:$P$79</c15:sqref>
                  </c15:fullRef>
                </c:ext>
              </c:extLst>
              <c:f>'PPT Work'!$I$79:$M$79</c:f>
              <c:numCache>
                <c:formatCode>General</c:formatCode>
                <c:ptCount val="5"/>
                <c:pt idx="0">
                  <c:v>2</c:v>
                </c:pt>
              </c:numCache>
            </c:numRef>
          </c:val>
          <c:extLst>
            <c:ext xmlns:c16="http://schemas.microsoft.com/office/drawing/2014/chart" uri="{C3380CC4-5D6E-409C-BE32-E72D297353CC}">
              <c16:uniqueId val="{00000000-B7A6-4A43-95BF-99651B40C922}"/>
            </c:ext>
          </c:extLst>
        </c:ser>
        <c:ser>
          <c:idx val="10"/>
          <c:order val="10"/>
          <c:tx>
            <c:strRef>
              <c:f>'PPT Work'!$A$82</c:f>
              <c:strCache>
                <c:ptCount val="1"/>
                <c:pt idx="0">
                  <c:v>Material handling or lifiting </c:v>
                </c:pt>
              </c:strCache>
            </c:strRef>
          </c:tx>
          <c:spPr>
            <a:solidFill>
              <a:srgbClr val="FFC000"/>
            </a:solidFill>
            <a:ln>
              <a:noFill/>
            </a:ln>
            <a:effectLst/>
          </c:spPr>
          <c:invertIfNegative val="0"/>
          <c:cat>
            <c:strRef>
              <c:extLst>
                <c:ext xmlns:c15="http://schemas.microsoft.com/office/drawing/2012/chart" uri="{02D57815-91ED-43cb-92C2-25804820EDAC}">
                  <c15:fullRef>
                    <c15:sqref>'PPT Work'!$E$71:$P$71</c15:sqref>
                  </c15:fullRef>
                </c:ext>
              </c:extLst>
              <c:f>'PPT Work'!$E$71:$I$71</c:f>
              <c:strCache>
                <c:ptCount val="5"/>
                <c:pt idx="0">
                  <c:v>Jan</c:v>
                </c:pt>
                <c:pt idx="1">
                  <c:v>Feb</c:v>
                </c:pt>
                <c:pt idx="2">
                  <c:v>Mar</c:v>
                </c:pt>
                <c:pt idx="3">
                  <c:v>Apr</c:v>
                </c:pt>
                <c:pt idx="4">
                  <c:v>May</c:v>
                </c:pt>
              </c:strCache>
            </c:strRef>
          </c:cat>
          <c:val>
            <c:numRef>
              <c:extLst>
                <c:ext xmlns:c15="http://schemas.microsoft.com/office/drawing/2012/chart" uri="{02D57815-91ED-43cb-92C2-25804820EDAC}">
                  <c15:fullRef>
                    <c15:sqref>'PPT Work'!$E$82:$Q$82</c15:sqref>
                  </c15:fullRef>
                </c:ext>
              </c:extLst>
              <c:f>'PPT Work'!$E$82:$I$82</c:f>
              <c:numCache>
                <c:formatCode>General</c:formatCode>
                <c:ptCount val="5"/>
                <c:pt idx="0">
                  <c:v>2</c:v>
                </c:pt>
                <c:pt idx="1">
                  <c:v>2</c:v>
                </c:pt>
              </c:numCache>
            </c:numRef>
          </c:val>
          <c:extLst>
            <c:ext xmlns:c16="http://schemas.microsoft.com/office/drawing/2014/chart" uri="{C3380CC4-5D6E-409C-BE32-E72D297353CC}">
              <c16:uniqueId val="{00000003-B7A6-4A43-95BF-99651B40C922}"/>
            </c:ext>
          </c:extLst>
        </c:ser>
        <c:ser>
          <c:idx val="12"/>
          <c:order val="12"/>
          <c:tx>
            <c:strRef>
              <c:f>'PPT Work'!$A$84:$H$84</c:f>
              <c:strCache>
                <c:ptCount val="8"/>
                <c:pt idx="0">
                  <c:v>PPE</c:v>
                </c:pt>
                <c:pt idx="5">
                  <c:v>2</c:v>
                </c:pt>
                <c:pt idx="6">
                  <c:v>1</c:v>
                </c:pt>
              </c:strCache>
            </c:strRef>
          </c:tx>
          <c:spPr>
            <a:solidFill>
              <a:schemeClr val="accent1">
                <a:lumMod val="80000"/>
                <a:lumOff val="20000"/>
              </a:schemeClr>
            </a:solidFill>
            <a:ln>
              <a:noFill/>
            </a:ln>
            <a:effectLst/>
          </c:spPr>
          <c:invertIfNegative val="0"/>
          <c:cat>
            <c:strRef>
              <c:extLst>
                <c:ext xmlns:c15="http://schemas.microsoft.com/office/drawing/2012/chart" uri="{02D57815-91ED-43cb-92C2-25804820EDAC}">
                  <c15:fullRef>
                    <c15:sqref>'PPT Work'!$E$71:$P$71</c15:sqref>
                  </c15:fullRef>
                </c:ext>
              </c:extLst>
              <c:f>'PPT Work'!$E$71:$I$71</c:f>
              <c:strCache>
                <c:ptCount val="5"/>
                <c:pt idx="0">
                  <c:v>Jan</c:v>
                </c:pt>
                <c:pt idx="1">
                  <c:v>Feb</c:v>
                </c:pt>
                <c:pt idx="2">
                  <c:v>Mar</c:v>
                </c:pt>
                <c:pt idx="3">
                  <c:v>Apr</c:v>
                </c:pt>
                <c:pt idx="4">
                  <c:v>May</c:v>
                </c:pt>
                <c:pt idx="5">
                  <c:v>Sep</c:v>
                </c:pt>
                <c:pt idx="6">
                  <c:v>Oct</c:v>
                </c:pt>
                <c:pt idx="7">
                  <c:v>Nov</c:v>
                </c:pt>
                <c:pt idx="8">
                  <c:v>Dec</c:v>
                </c:pt>
              </c:strCache>
            </c:strRef>
          </c:cat>
          <c:val>
            <c:numRef>
              <c:extLst>
                <c:ext xmlns:c15="http://schemas.microsoft.com/office/drawing/2012/chart" uri="{02D57815-91ED-43cb-92C2-25804820EDAC}">
                  <c15:fullRef>
                    <c15:sqref>'PPT Work'!$I$84:$P$84</c15:sqref>
                  </c15:fullRef>
                </c:ext>
              </c:extLst>
              <c:f>'PPT Work'!$I$84:$M$84</c:f>
              <c:numCache>
                <c:formatCode>General</c:formatCode>
                <c:ptCount val="5"/>
              </c:numCache>
            </c:numRef>
          </c:val>
          <c:extLst>
            <c:ext xmlns:c16="http://schemas.microsoft.com/office/drawing/2014/chart" uri="{C3380CC4-5D6E-409C-BE32-E72D297353CC}">
              <c16:uniqueId val="{00000005-B7A6-4A43-95BF-99651B40C922}"/>
            </c:ext>
          </c:extLst>
        </c:ser>
        <c:dLbls>
          <c:showLegendKey val="0"/>
          <c:showVal val="0"/>
          <c:showCatName val="0"/>
          <c:showSerName val="0"/>
          <c:showPercent val="0"/>
          <c:showBubbleSize val="0"/>
        </c:dLbls>
        <c:gapWidth val="219"/>
        <c:axId val="798031136"/>
        <c:axId val="798032576"/>
        <c:extLst>
          <c:ext xmlns:c15="http://schemas.microsoft.com/office/drawing/2012/chart" uri="{02D57815-91ED-43cb-92C2-25804820EDAC}">
            <c15:filteredBarSeries>
              <c15:ser>
                <c:idx val="0"/>
                <c:order val="0"/>
                <c:tx>
                  <c:strRef>
                    <c:extLst>
                      <c:ext uri="{02D57815-91ED-43cb-92C2-25804820EDAC}">
                        <c15:formulaRef>
                          <c15:sqref>'PPT Work'!$A$72:$H$72</c15:sqref>
                        </c15:formulaRef>
                      </c:ext>
                    </c:extLst>
                    <c:strCache>
                      <c:ptCount val="8"/>
                      <c:pt idx="0">
                        <c:v>Building</c:v>
                      </c:pt>
                      <c:pt idx="6">
                        <c:v>1</c:v>
                      </c:pt>
                      <c:pt idx="7">
                        <c:v>4</c:v>
                      </c:pt>
                    </c:strCache>
                  </c:strRef>
                </c:tx>
                <c:spPr>
                  <a:solidFill>
                    <a:schemeClr val="accent1"/>
                  </a:solidFill>
                  <a:ln>
                    <a:noFill/>
                  </a:ln>
                  <a:effectLst/>
                </c:spPr>
                <c:invertIfNegative val="0"/>
                <c:cat>
                  <c:strRef>
                    <c:extLst>
                      <c:ext uri="{02D57815-91ED-43cb-92C2-25804820EDAC}">
                        <c15:fullRef>
                          <c15:sqref>'PPT Work'!$E$71:$P$71</c15:sqref>
                        </c15:fullRef>
                        <c15:formulaRef>
                          <c15:sqref>'PPT Work'!$E$71:$I$71</c15:sqref>
                        </c15:formulaRef>
                      </c:ext>
                    </c:extLst>
                    <c:strCache>
                      <c:ptCount val="5"/>
                      <c:pt idx="0">
                        <c:v>Jan</c:v>
                      </c:pt>
                      <c:pt idx="1">
                        <c:v>Feb</c:v>
                      </c:pt>
                      <c:pt idx="2">
                        <c:v>Mar</c:v>
                      </c:pt>
                      <c:pt idx="3">
                        <c:v>Apr</c:v>
                      </c:pt>
                      <c:pt idx="4">
                        <c:v>May</c:v>
                      </c:pt>
                      <c:pt idx="5">
                        <c:v>Sep</c:v>
                      </c:pt>
                      <c:pt idx="6">
                        <c:v>Oct</c:v>
                      </c:pt>
                      <c:pt idx="7">
                        <c:v>Nov</c:v>
                      </c:pt>
                      <c:pt idx="8">
                        <c:v>Dec</c:v>
                      </c:pt>
                    </c:strCache>
                  </c:strRef>
                </c:cat>
                <c:val>
                  <c:numRef>
                    <c:extLst>
                      <c:ext uri="{02D57815-91ED-43cb-92C2-25804820EDAC}">
                        <c15:fullRef>
                          <c15:sqref>'PPT Work'!$I$72:$P$72</c15:sqref>
                        </c15:fullRef>
                        <c15:formulaRef>
                          <c15:sqref>'PPT Work'!$I$72:$M$72</c15:sqref>
                        </c15:formulaRef>
                      </c:ext>
                    </c:extLst>
                    <c:numCache>
                      <c:formatCode>General</c:formatCode>
                      <c:ptCount val="5"/>
                      <c:pt idx="0">
                        <c:v>2</c:v>
                      </c:pt>
                    </c:numCache>
                  </c:numRef>
                </c:val>
                <c:extLst>
                  <c:ext xmlns:c16="http://schemas.microsoft.com/office/drawing/2014/chart" uri="{C3380CC4-5D6E-409C-BE32-E72D297353CC}">
                    <c16:uniqueId val="{00000005-23F1-4C78-ADBB-AC4E9619E095}"/>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'PPT Work'!$A$73:$H$73</c15:sqref>
                        </c15:formulaRef>
                      </c:ext>
                    </c:extLst>
                    <c:strCache>
                      <c:ptCount val="8"/>
                      <c:pt idx="0">
                        <c:v>Chemical</c:v>
                      </c:pt>
                      <c:pt idx="7">
                        <c:v>1</c:v>
                      </c:pt>
                    </c:strCache>
                  </c:strRef>
                </c:tx>
                <c:spPr>
                  <a:solidFill>
                    <a:schemeClr val="accent2"/>
                  </a:solidFill>
                  <a:ln>
                    <a:noFill/>
                  </a:ln>
                  <a:effectLst/>
                </c:spPr>
                <c:invertIfNegative val="0"/>
                <c:cat>
                  <c:strRef>
                    <c:extLst>
                      <c:ext xmlns:c15="http://schemas.microsoft.com/office/drawing/2012/chart" uri="{02D57815-91ED-43cb-92C2-25804820EDAC}">
                        <c15:fullRef>
                          <c15:sqref>'PPT Work'!$E$71:$P$71</c15:sqref>
                        </c15:fullRef>
                        <c15:formulaRef>
                          <c15:sqref>'PPT Work'!$E$71:$I$71</c15:sqref>
                        </c15:formulaRef>
                      </c:ext>
                    </c:extLst>
                    <c:strCache>
                      <c:ptCount val="5"/>
                      <c:pt idx="0">
                        <c:v>Jan</c:v>
                      </c:pt>
                      <c:pt idx="1">
                        <c:v>Feb</c:v>
                      </c:pt>
                      <c:pt idx="2">
                        <c:v>Mar</c:v>
                      </c:pt>
                      <c:pt idx="3">
                        <c:v>Apr</c:v>
                      </c:pt>
                      <c:pt idx="4">
                        <c:v>May</c:v>
                      </c:pt>
                      <c:pt idx="5">
                        <c:v>Sep</c:v>
                      </c:pt>
                      <c:pt idx="6">
                        <c:v>Oct</c:v>
                      </c:pt>
                      <c:pt idx="7">
                        <c:v>Nov</c:v>
                      </c:pt>
                      <c:pt idx="8">
                        <c:v>Dec</c:v>
                      </c:pt>
                    </c:strCache>
                  </c:strRef>
                </c:cat>
                <c:val>
                  <c:numRef>
                    <c:extLst>
                      <c:ext xmlns:c15="http://schemas.microsoft.com/office/drawing/2012/chart" uri="{02D57815-91ED-43cb-92C2-25804820EDAC}">
                        <c15:fullRef>
                          <c15:sqref>'PPT Work'!$I$73:$P$73</c15:sqref>
                        </c15:fullRef>
                        <c15:formulaRef>
                          <c15:sqref>'PPT Work'!$I$73:$M$73</c15:sqref>
                        </c15:formulaRef>
                      </c:ext>
                    </c:extLst>
                    <c:numCache>
                      <c:formatCode>General</c:formatCode>
                      <c:ptCount val="5"/>
                    </c:numCache>
                  </c:numRef>
                </c:val>
                <c:extLst xmlns:c15="http://schemas.microsoft.com/office/drawing/2012/chart">
                  <c:ext xmlns:c16="http://schemas.microsoft.com/office/drawing/2014/chart" uri="{C3380CC4-5D6E-409C-BE32-E72D297353CC}">
                    <c16:uniqueId val="{00000006-23F1-4C78-ADBB-AC4E9619E095}"/>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'PPT Work'!$A$74:$H$74</c15:sqref>
                        </c15:formulaRef>
                      </c:ext>
                    </c:extLst>
                    <c:strCache>
                      <c:ptCount val="8"/>
                      <c:pt idx="0">
                        <c:v>Confined Space</c:v>
                      </c:pt>
                    </c:strCache>
                  </c:strRef>
                </c:tx>
                <c:spPr>
                  <a:solidFill>
                    <a:schemeClr val="accent3"/>
                  </a:solidFill>
                  <a:ln>
                    <a:noFill/>
                  </a:ln>
                  <a:effectLst/>
                </c:spPr>
                <c:invertIfNegative val="0"/>
                <c:cat>
                  <c:strRef>
                    <c:extLst>
                      <c:ext xmlns:c15="http://schemas.microsoft.com/office/drawing/2012/chart" uri="{02D57815-91ED-43cb-92C2-25804820EDAC}">
                        <c15:fullRef>
                          <c15:sqref>'PPT Work'!$I$71:$P$71</c15:sqref>
                        </c15:fullRef>
                        <c15:formulaRef>
                          <c15:sqref>'PPT Work'!$I$71:$M$71</c15:sqref>
                        </c15:formulaRef>
                      </c:ext>
                    </c:extLst>
                    <c:strCache>
                      <c:ptCount val="5"/>
                      <c:pt idx="0">
                        <c:v>May</c:v>
                      </c:pt>
                      <c:pt idx="1">
                        <c:v>Jun</c:v>
                      </c:pt>
                      <c:pt idx="2">
                        <c:v>Jul</c:v>
                      </c:pt>
                      <c:pt idx="3">
                        <c:v>Aug</c:v>
                      </c:pt>
                      <c:pt idx="4">
                        <c:v>Sep</c:v>
                      </c:pt>
                    </c:strCache>
                  </c:strRef>
                </c:cat>
                <c:val>
                  <c:numRef>
                    <c:extLst>
                      <c:ext xmlns:c15="http://schemas.microsoft.com/office/drawing/2012/chart" uri="{02D57815-91ED-43cb-92C2-25804820EDAC}">
                        <c15:fullRef>
                          <c15:sqref>'PPT Work'!$I$74:$P$74</c15:sqref>
                        </c15:fullRef>
                        <c15:formulaRef>
                          <c15:sqref>'PPT Work'!$I$74:$M$74</c15:sqref>
                        </c15:formulaRef>
                      </c:ext>
                    </c:extLst>
                    <c:numCache>
                      <c:formatCode>General</c:formatCode>
                      <c:ptCount val="5"/>
                    </c:numCache>
                  </c:numRef>
                </c:val>
                <c:extLst xmlns:c15="http://schemas.microsoft.com/office/drawing/2012/chart">
                  <c:ext xmlns:c16="http://schemas.microsoft.com/office/drawing/2014/chart" uri="{C3380CC4-5D6E-409C-BE32-E72D297353CC}">
                    <c16:uniqueId val="{00000000-23F1-4C78-ADBB-AC4E9619E095}"/>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'PPT Work'!$A$75:$H$75</c15:sqref>
                        </c15:formulaRef>
                      </c:ext>
                    </c:extLst>
                    <c:strCache>
                      <c:ptCount val="8"/>
                      <c:pt idx="0">
                        <c:v>Electrical</c:v>
                      </c:pt>
                      <c:pt idx="7">
                        <c:v>3</c:v>
                      </c:pt>
                    </c:strCache>
                  </c:strRef>
                </c:tx>
                <c:spPr>
                  <a:solidFill>
                    <a:schemeClr val="accent4"/>
                  </a:solidFill>
                  <a:ln>
                    <a:noFill/>
                  </a:ln>
                  <a:effectLst/>
                </c:spPr>
                <c:invertIfNegative val="0"/>
                <c:cat>
                  <c:strRef>
                    <c:extLst>
                      <c:ext xmlns:c15="http://schemas.microsoft.com/office/drawing/2012/chart" uri="{02D57815-91ED-43cb-92C2-25804820EDAC}">
                        <c15:fullRef>
                          <c15:sqref>'PPT Work'!$I$71:$P$71</c15:sqref>
                        </c15:fullRef>
                        <c15:formulaRef>
                          <c15:sqref>'PPT Work'!$I$71:$M$71</c15:sqref>
                        </c15:formulaRef>
                      </c:ext>
                    </c:extLst>
                    <c:strCache>
                      <c:ptCount val="5"/>
                      <c:pt idx="0">
                        <c:v>May</c:v>
                      </c:pt>
                      <c:pt idx="1">
                        <c:v>Jun</c:v>
                      </c:pt>
                      <c:pt idx="2">
                        <c:v>Jul</c:v>
                      </c:pt>
                      <c:pt idx="3">
                        <c:v>Aug</c:v>
                      </c:pt>
                      <c:pt idx="4">
                        <c:v>Sep</c:v>
                      </c:pt>
                    </c:strCache>
                  </c:strRef>
                </c:cat>
                <c:val>
                  <c:numRef>
                    <c:extLst>
                      <c:ext xmlns:c15="http://schemas.microsoft.com/office/drawing/2012/chart" uri="{02D57815-91ED-43cb-92C2-25804820EDAC}">
                        <c15:fullRef>
                          <c15:sqref>'PPT Work'!$I$75:$P$75</c15:sqref>
                        </c15:fullRef>
                        <c15:formulaRef>
                          <c15:sqref>'PPT Work'!$I$75:$M$75</c15:sqref>
                        </c15:formulaRef>
                      </c:ext>
                    </c:extLst>
                    <c:numCache>
                      <c:formatCode>General</c:formatCode>
                      <c:ptCount val="5"/>
                      <c:pt idx="0">
                        <c:v>1</c:v>
                      </c:pt>
                    </c:numCache>
                  </c:numRef>
                </c:val>
                <c:extLst xmlns:c15="http://schemas.microsoft.com/office/drawing/2012/chart">
                  <c:ext xmlns:c16="http://schemas.microsoft.com/office/drawing/2014/chart" uri="{C3380CC4-5D6E-409C-BE32-E72D297353CC}">
                    <c16:uniqueId val="{00000001-23F1-4C78-ADBB-AC4E9619E095}"/>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'PPT Work'!$A$76:$H$76</c15:sqref>
                        </c15:formulaRef>
                      </c:ext>
                    </c:extLst>
                    <c:strCache>
                      <c:ptCount val="8"/>
                      <c:pt idx="0">
                        <c:v>Ergonomics</c:v>
                      </c:pt>
                    </c:strCache>
                  </c:strRef>
                </c:tx>
                <c:spPr>
                  <a:solidFill>
                    <a:schemeClr val="accent5"/>
                  </a:solidFill>
                  <a:ln>
                    <a:noFill/>
                  </a:ln>
                  <a:effectLst/>
                </c:spPr>
                <c:invertIfNegative val="0"/>
                <c:cat>
                  <c:strRef>
                    <c:extLst>
                      <c:ext xmlns:c15="http://schemas.microsoft.com/office/drawing/2012/chart" uri="{02D57815-91ED-43cb-92C2-25804820EDAC}">
                        <c15:fullRef>
                          <c15:sqref>'PPT Work'!$I$71:$P$71</c15:sqref>
                        </c15:fullRef>
                        <c15:formulaRef>
                          <c15:sqref>'PPT Work'!$I$71:$M$71</c15:sqref>
                        </c15:formulaRef>
                      </c:ext>
                    </c:extLst>
                    <c:strCache>
                      <c:ptCount val="5"/>
                      <c:pt idx="0">
                        <c:v>May</c:v>
                      </c:pt>
                      <c:pt idx="1">
                        <c:v>Jun</c:v>
                      </c:pt>
                      <c:pt idx="2">
                        <c:v>Jul</c:v>
                      </c:pt>
                      <c:pt idx="3">
                        <c:v>Aug</c:v>
                      </c:pt>
                      <c:pt idx="4">
                        <c:v>Sep</c:v>
                      </c:pt>
                    </c:strCache>
                  </c:strRef>
                </c:cat>
                <c:val>
                  <c:numRef>
                    <c:extLst>
                      <c:ext xmlns:c15="http://schemas.microsoft.com/office/drawing/2012/chart" uri="{02D57815-91ED-43cb-92C2-25804820EDAC}">
                        <c15:fullRef>
                          <c15:sqref>'PPT Work'!$I$76:$P$76</c15:sqref>
                        </c15:fullRef>
                        <c15:formulaRef>
                          <c15:sqref>'PPT Work'!$I$76:$M$76</c15:sqref>
                        </c15:formulaRef>
                      </c:ext>
                    </c:extLst>
                    <c:numCache>
                      <c:formatCode>General</c:formatCode>
                      <c:ptCount val="5"/>
                    </c:numCache>
                  </c:numRef>
                </c:val>
                <c:extLst xmlns:c15="http://schemas.microsoft.com/office/drawing/2012/chart">
                  <c:ext xmlns:c16="http://schemas.microsoft.com/office/drawing/2014/chart" uri="{C3380CC4-5D6E-409C-BE32-E72D297353CC}">
                    <c16:uniqueId val="{00000002-23F1-4C78-ADBB-AC4E9619E095}"/>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'PPT Work'!$A$77:$H$77</c15:sqref>
                        </c15:formulaRef>
                      </c:ext>
                    </c:extLst>
                    <c:strCache>
                      <c:ptCount val="8"/>
                      <c:pt idx="0">
                        <c:v>Fire</c:v>
                      </c:pt>
                      <c:pt idx="7">
                        <c:v>1</c:v>
                      </c:pt>
                    </c:strCache>
                  </c:strRef>
                </c:tx>
                <c:spPr>
                  <a:solidFill>
                    <a:schemeClr val="accent6"/>
                  </a:solidFill>
                  <a:ln>
                    <a:noFill/>
                  </a:ln>
                  <a:effectLst/>
                </c:spPr>
                <c:invertIfNegative val="0"/>
                <c:cat>
                  <c:strRef>
                    <c:extLst>
                      <c:ext xmlns:c15="http://schemas.microsoft.com/office/drawing/2012/chart" uri="{02D57815-91ED-43cb-92C2-25804820EDAC}">
                        <c15:fullRef>
                          <c15:sqref>'PPT Work'!$I$71:$P$71</c15:sqref>
                        </c15:fullRef>
                        <c15:formulaRef>
                          <c15:sqref>'PPT Work'!$I$71:$M$71</c15:sqref>
                        </c15:formulaRef>
                      </c:ext>
                    </c:extLst>
                    <c:strCache>
                      <c:ptCount val="5"/>
                      <c:pt idx="0">
                        <c:v>May</c:v>
                      </c:pt>
                      <c:pt idx="1">
                        <c:v>Jun</c:v>
                      </c:pt>
                      <c:pt idx="2">
                        <c:v>Jul</c:v>
                      </c:pt>
                      <c:pt idx="3">
                        <c:v>Aug</c:v>
                      </c:pt>
                      <c:pt idx="4">
                        <c:v>Sep</c:v>
                      </c:pt>
                    </c:strCache>
                  </c:strRef>
                </c:cat>
                <c:val>
                  <c:numRef>
                    <c:extLst>
                      <c:ext xmlns:c15="http://schemas.microsoft.com/office/drawing/2012/chart" uri="{02D57815-91ED-43cb-92C2-25804820EDAC}">
                        <c15:fullRef>
                          <c15:sqref>'PPT Work'!$I$77:$P$77</c15:sqref>
                        </c15:fullRef>
                        <c15:formulaRef>
                          <c15:sqref>'PPT Work'!$I$77:$M$77</c15:sqref>
                        </c15:formulaRef>
                      </c:ext>
                    </c:extLst>
                    <c:numCache>
                      <c:formatCode>General</c:formatCode>
                      <c:ptCount val="5"/>
                      <c:pt idx="0">
                        <c:v>1</c:v>
                      </c:pt>
                    </c:numCache>
                  </c:numRef>
                </c:val>
                <c:extLst xmlns:c15="http://schemas.microsoft.com/office/drawing/2012/chart">
                  <c:ext xmlns:c16="http://schemas.microsoft.com/office/drawing/2014/chart" uri="{C3380CC4-5D6E-409C-BE32-E72D297353CC}">
                    <c16:uniqueId val="{00000003-23F1-4C78-ADBB-AC4E9619E095}"/>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'PPT Work'!$A$80:$H$80</c15:sqref>
                        </c15:formulaRef>
                      </c:ext>
                    </c:extLst>
                    <c:strCache>
                      <c:ptCount val="8"/>
                      <c:pt idx="0">
                        <c:v>LOTO</c:v>
                      </c:pt>
                    </c:strCache>
                  </c:strRef>
                </c:tx>
                <c:spPr>
                  <a:solidFill>
                    <a:schemeClr val="accent3">
                      <a:lumMod val="60000"/>
                    </a:schemeClr>
                  </a:solidFill>
                  <a:ln>
                    <a:noFill/>
                  </a:ln>
                  <a:effectLst/>
                </c:spPr>
                <c:invertIfNegative val="0"/>
                <c:cat>
                  <c:strRef>
                    <c:extLst>
                      <c:ext xmlns:c15="http://schemas.microsoft.com/office/drawing/2012/chart" uri="{02D57815-91ED-43cb-92C2-25804820EDAC}">
                        <c15:fullRef>
                          <c15:sqref>'PPT Work'!$E$71:$P$71</c15:sqref>
                        </c15:fullRef>
                        <c15:formulaRef>
                          <c15:sqref>'PPT Work'!$E$71:$I$71</c15:sqref>
                        </c15:formulaRef>
                      </c:ext>
                    </c:extLst>
                    <c:strCache>
                      <c:ptCount val="5"/>
                      <c:pt idx="0">
                        <c:v>Jan</c:v>
                      </c:pt>
                      <c:pt idx="1">
                        <c:v>Feb</c:v>
                      </c:pt>
                      <c:pt idx="2">
                        <c:v>Mar</c:v>
                      </c:pt>
                      <c:pt idx="3">
                        <c:v>Apr</c:v>
                      </c:pt>
                      <c:pt idx="4">
                        <c:v>May</c:v>
                      </c:pt>
                      <c:pt idx="5">
                        <c:v>Sep</c:v>
                      </c:pt>
                      <c:pt idx="6">
                        <c:v>Oct</c:v>
                      </c:pt>
                      <c:pt idx="7">
                        <c:v>Nov</c:v>
                      </c:pt>
                      <c:pt idx="8">
                        <c:v>Dec</c:v>
                      </c:pt>
                    </c:strCache>
                  </c:strRef>
                </c:cat>
                <c:val>
                  <c:numRef>
                    <c:extLst>
                      <c:ext xmlns:c15="http://schemas.microsoft.com/office/drawing/2012/chart" uri="{02D57815-91ED-43cb-92C2-25804820EDAC}">
                        <c15:fullRef>
                          <c15:sqref>'PPT Work'!$I$80:$P$80</c15:sqref>
                        </c15:fullRef>
                        <c15:formulaRef>
                          <c15:sqref>'PPT Work'!$I$80:$M$80</c15:sqref>
                        </c15:formulaRef>
                      </c:ext>
                    </c:extLst>
                    <c:numCache>
                      <c:formatCode>General</c:formatCode>
                      <c:ptCount val="5"/>
                    </c:numCache>
                  </c:numRef>
                </c:val>
                <c:extLst xmlns:c15="http://schemas.microsoft.com/office/drawing/2012/chart">
                  <c:ext xmlns:c16="http://schemas.microsoft.com/office/drawing/2014/chart" uri="{C3380CC4-5D6E-409C-BE32-E72D297353CC}">
                    <c16:uniqueId val="{00000001-B7A6-4A43-95BF-99651B40C922}"/>
                  </c:ext>
                </c:extLst>
              </c15:ser>
            </c15:filteredBarSeries>
            <c15:filteredBarSeries>
              <c15:ser>
                <c:idx val="9"/>
                <c:order val="9"/>
                <c:tx>
                  <c:strRef>
                    <c:extLst xmlns:c15="http://schemas.microsoft.com/office/drawing/2012/chart">
                      <c:ext xmlns:c15="http://schemas.microsoft.com/office/drawing/2012/chart" uri="{02D57815-91ED-43cb-92C2-25804820EDAC}">
                        <c15:formulaRef>
                          <c15:sqref>'PPT Work'!$A$81:$H$81</c15:sqref>
                        </c15:formulaRef>
                      </c:ext>
                    </c:extLst>
                    <c:strCache>
                      <c:ptCount val="8"/>
                      <c:pt idx="0">
                        <c:v>Material defect</c:v>
                      </c:pt>
                      <c:pt idx="7">
                        <c:v>2</c:v>
                      </c:pt>
                    </c:strCache>
                  </c:strRef>
                </c:tx>
                <c:spPr>
                  <a:solidFill>
                    <a:schemeClr val="accent4">
                      <a:lumMod val="60000"/>
                    </a:schemeClr>
                  </a:solidFill>
                  <a:ln>
                    <a:noFill/>
                  </a:ln>
                  <a:effectLst/>
                </c:spPr>
                <c:invertIfNegative val="0"/>
                <c:cat>
                  <c:strRef>
                    <c:extLst>
                      <c:ext xmlns:c15="http://schemas.microsoft.com/office/drawing/2012/chart" uri="{02D57815-91ED-43cb-92C2-25804820EDAC}">
                        <c15:fullRef>
                          <c15:sqref>'PPT Work'!$E$71:$P$71</c15:sqref>
                        </c15:fullRef>
                        <c15:formulaRef>
                          <c15:sqref>'PPT Work'!$E$71:$I$71</c15:sqref>
                        </c15:formulaRef>
                      </c:ext>
                    </c:extLst>
                    <c:strCache>
                      <c:ptCount val="5"/>
                      <c:pt idx="0">
                        <c:v>Jan</c:v>
                      </c:pt>
                      <c:pt idx="1">
                        <c:v>Feb</c:v>
                      </c:pt>
                      <c:pt idx="2">
                        <c:v>Mar</c:v>
                      </c:pt>
                      <c:pt idx="3">
                        <c:v>Apr</c:v>
                      </c:pt>
                      <c:pt idx="4">
                        <c:v>May</c:v>
                      </c:pt>
                      <c:pt idx="5">
                        <c:v>Sep</c:v>
                      </c:pt>
                      <c:pt idx="6">
                        <c:v>Oct</c:v>
                      </c:pt>
                      <c:pt idx="7">
                        <c:v>Nov</c:v>
                      </c:pt>
                      <c:pt idx="8">
                        <c:v>Dec</c:v>
                      </c:pt>
                    </c:strCache>
                  </c:strRef>
                </c:cat>
                <c:val>
                  <c:numRef>
                    <c:extLst>
                      <c:ext xmlns:c15="http://schemas.microsoft.com/office/drawing/2012/chart" uri="{02D57815-91ED-43cb-92C2-25804820EDAC}">
                        <c15:fullRef>
                          <c15:sqref>'PPT Work'!$I$81:$P$81</c15:sqref>
                        </c15:fullRef>
                        <c15:formulaRef>
                          <c15:sqref>'PPT Work'!$I$81:$M$81</c15:sqref>
                        </c15:formulaRef>
                      </c:ext>
                    </c:extLst>
                    <c:numCache>
                      <c:formatCode>General</c:formatCode>
                      <c:ptCount val="5"/>
                      <c:pt idx="0">
                        <c:v>2</c:v>
                      </c:pt>
                    </c:numCache>
                  </c:numRef>
                </c:val>
                <c:extLst xmlns:c15="http://schemas.microsoft.com/office/drawing/2012/chart">
                  <c:ext xmlns:c16="http://schemas.microsoft.com/office/drawing/2014/chart" uri="{C3380CC4-5D6E-409C-BE32-E72D297353CC}">
                    <c16:uniqueId val="{00000002-B7A6-4A43-95BF-99651B40C922}"/>
                  </c:ext>
                </c:extLst>
              </c15:ser>
            </c15:filteredBarSeries>
            <c15:filteredBarSeries>
              <c15:ser>
                <c:idx val="11"/>
                <c:order val="11"/>
                <c:tx>
                  <c:strRef>
                    <c:extLst xmlns:c15="http://schemas.microsoft.com/office/drawing/2012/chart">
                      <c:ext xmlns:c15="http://schemas.microsoft.com/office/drawing/2012/chart" uri="{02D57815-91ED-43cb-92C2-25804820EDAC}">
                        <c15:formulaRef>
                          <c15:sqref>'PPT Work'!$A$83:$H$83</c15:sqref>
                        </c15:formulaRef>
                      </c:ext>
                    </c:extLst>
                    <c:strCache>
                      <c:ptCount val="8"/>
                      <c:pt idx="0">
                        <c:v>Non work related </c:v>
                      </c:pt>
                    </c:strCache>
                  </c:strRef>
                </c:tx>
                <c:spPr>
                  <a:solidFill>
                    <a:schemeClr val="accent6">
                      <a:lumMod val="60000"/>
                    </a:schemeClr>
                  </a:solidFill>
                  <a:ln>
                    <a:noFill/>
                  </a:ln>
                  <a:effectLst/>
                </c:spPr>
                <c:invertIfNegative val="0"/>
                <c:cat>
                  <c:strRef>
                    <c:extLst>
                      <c:ext xmlns:c15="http://schemas.microsoft.com/office/drawing/2012/chart" uri="{02D57815-91ED-43cb-92C2-25804820EDAC}">
                        <c15:fullRef>
                          <c15:sqref>'PPT Work'!$E$71:$P$71</c15:sqref>
                        </c15:fullRef>
                        <c15:formulaRef>
                          <c15:sqref>'PPT Work'!$E$71:$I$71</c15:sqref>
                        </c15:formulaRef>
                      </c:ext>
                    </c:extLst>
                    <c:strCache>
                      <c:ptCount val="5"/>
                      <c:pt idx="0">
                        <c:v>Jan</c:v>
                      </c:pt>
                      <c:pt idx="1">
                        <c:v>Feb</c:v>
                      </c:pt>
                      <c:pt idx="2">
                        <c:v>Mar</c:v>
                      </c:pt>
                      <c:pt idx="3">
                        <c:v>Apr</c:v>
                      </c:pt>
                      <c:pt idx="4">
                        <c:v>May</c:v>
                      </c:pt>
                      <c:pt idx="5">
                        <c:v>Sep</c:v>
                      </c:pt>
                      <c:pt idx="6">
                        <c:v>Oct</c:v>
                      </c:pt>
                      <c:pt idx="7">
                        <c:v>Nov</c:v>
                      </c:pt>
                      <c:pt idx="8">
                        <c:v>Dec</c:v>
                      </c:pt>
                    </c:strCache>
                  </c:strRef>
                </c:cat>
                <c:val>
                  <c:numRef>
                    <c:extLst>
                      <c:ext xmlns:c15="http://schemas.microsoft.com/office/drawing/2012/chart" uri="{02D57815-91ED-43cb-92C2-25804820EDAC}">
                        <c15:fullRef>
                          <c15:sqref>'PPT Work'!$I$83:$P$83</c15:sqref>
                        </c15:fullRef>
                        <c15:formulaRef>
                          <c15:sqref>'PPT Work'!$I$83:$M$83</c15:sqref>
                        </c15:formulaRef>
                      </c:ext>
                    </c:extLst>
                    <c:numCache>
                      <c:formatCode>General</c:formatCode>
                      <c:ptCount val="5"/>
                    </c:numCache>
                  </c:numRef>
                </c:val>
                <c:extLst xmlns:c15="http://schemas.microsoft.com/office/drawing/2012/chart">
                  <c:ext xmlns:c16="http://schemas.microsoft.com/office/drawing/2014/chart" uri="{C3380CC4-5D6E-409C-BE32-E72D297353CC}">
                    <c16:uniqueId val="{00000004-B7A6-4A43-95BF-99651B40C922}"/>
                  </c:ext>
                </c:extLst>
              </c15:ser>
            </c15:filteredBarSeries>
            <c15:filteredBarSeries>
              <c15:ser>
                <c:idx val="13"/>
                <c:order val="13"/>
                <c:tx>
                  <c:strRef>
                    <c:extLst xmlns:c15="http://schemas.microsoft.com/office/drawing/2012/chart">
                      <c:ext xmlns:c15="http://schemas.microsoft.com/office/drawing/2012/chart" uri="{02D57815-91ED-43cb-92C2-25804820EDAC}">
                        <c15:formulaRef>
                          <c15:sqref>'PPT Work'!$A$85:$H$85</c15:sqref>
                        </c15:formulaRef>
                      </c:ext>
                    </c:extLst>
                    <c:strCache>
                      <c:ptCount val="8"/>
                      <c:pt idx="0">
                        <c:v>Respiratory protection</c:v>
                      </c:pt>
                    </c:strCache>
                  </c:strRef>
                </c:tx>
                <c:spPr>
                  <a:solidFill>
                    <a:schemeClr val="accent2">
                      <a:lumMod val="80000"/>
                      <a:lumOff val="20000"/>
                    </a:schemeClr>
                  </a:solidFill>
                  <a:ln>
                    <a:noFill/>
                  </a:ln>
                  <a:effectLst/>
                </c:spPr>
                <c:invertIfNegative val="0"/>
                <c:cat>
                  <c:strRef>
                    <c:extLst>
                      <c:ext xmlns:c15="http://schemas.microsoft.com/office/drawing/2012/chart" uri="{02D57815-91ED-43cb-92C2-25804820EDAC}">
                        <c15:fullRef>
                          <c15:sqref>'PPT Work'!$E$71:$P$71</c15:sqref>
                        </c15:fullRef>
                        <c15:formulaRef>
                          <c15:sqref>'PPT Work'!$E$71:$I$71</c15:sqref>
                        </c15:formulaRef>
                      </c:ext>
                    </c:extLst>
                    <c:strCache>
                      <c:ptCount val="5"/>
                      <c:pt idx="0">
                        <c:v>Jan</c:v>
                      </c:pt>
                      <c:pt idx="1">
                        <c:v>Feb</c:v>
                      </c:pt>
                      <c:pt idx="2">
                        <c:v>Mar</c:v>
                      </c:pt>
                      <c:pt idx="3">
                        <c:v>Apr</c:v>
                      </c:pt>
                      <c:pt idx="4">
                        <c:v>May</c:v>
                      </c:pt>
                      <c:pt idx="5">
                        <c:v>Sep</c:v>
                      </c:pt>
                      <c:pt idx="6">
                        <c:v>Oct</c:v>
                      </c:pt>
                      <c:pt idx="7">
                        <c:v>Nov</c:v>
                      </c:pt>
                      <c:pt idx="8">
                        <c:v>Dec</c:v>
                      </c:pt>
                    </c:strCache>
                  </c:strRef>
                </c:cat>
                <c:val>
                  <c:numRef>
                    <c:extLst>
                      <c:ext xmlns:c15="http://schemas.microsoft.com/office/drawing/2012/chart" uri="{02D57815-91ED-43cb-92C2-25804820EDAC}">
                        <c15:fullRef>
                          <c15:sqref>'PPT Work'!$I$85:$P$85</c15:sqref>
                        </c15:fullRef>
                        <c15:formulaRef>
                          <c15:sqref>'PPT Work'!$I$85:$M$85</c15:sqref>
                        </c15:formulaRef>
                      </c:ext>
                    </c:extLst>
                    <c:numCache>
                      <c:formatCode>General</c:formatCode>
                      <c:ptCount val="5"/>
                    </c:numCache>
                  </c:numRef>
                </c:val>
                <c:extLst xmlns:c15="http://schemas.microsoft.com/office/drawing/2012/chart">
                  <c:ext xmlns:c16="http://schemas.microsoft.com/office/drawing/2014/chart" uri="{C3380CC4-5D6E-409C-BE32-E72D297353CC}">
                    <c16:uniqueId val="{00000006-B7A6-4A43-95BF-99651B40C922}"/>
                  </c:ext>
                </c:extLst>
              </c15:ser>
            </c15:filteredBarSeries>
            <c15:filteredBarSeries>
              <c15:ser>
                <c:idx val="14"/>
                <c:order val="14"/>
                <c:tx>
                  <c:strRef>
                    <c:extLst xmlns:c15="http://schemas.microsoft.com/office/drawing/2012/chart">
                      <c:ext xmlns:c15="http://schemas.microsoft.com/office/drawing/2012/chart" uri="{02D57815-91ED-43cb-92C2-25804820EDAC}">
                        <c15:formulaRef>
                          <c15:sqref>'PPT Work'!$A$86:$H$86</c15:sqref>
                        </c15:formulaRef>
                      </c:ext>
                    </c:extLst>
                    <c:strCache>
                      <c:ptCount val="8"/>
                      <c:pt idx="0">
                        <c:v>Slip, trip, fall</c:v>
                      </c:pt>
                      <c:pt idx="7">
                        <c:v>3</c:v>
                      </c:pt>
                    </c:strCache>
                  </c:strRef>
                </c:tx>
                <c:spPr>
                  <a:solidFill>
                    <a:schemeClr val="accent3">
                      <a:lumMod val="80000"/>
                      <a:lumOff val="20000"/>
                    </a:schemeClr>
                  </a:solidFill>
                  <a:ln>
                    <a:noFill/>
                  </a:ln>
                  <a:effectLst/>
                </c:spPr>
                <c:invertIfNegative val="0"/>
                <c:cat>
                  <c:strRef>
                    <c:extLst>
                      <c:ext xmlns:c15="http://schemas.microsoft.com/office/drawing/2012/chart" uri="{02D57815-91ED-43cb-92C2-25804820EDAC}">
                        <c15:fullRef>
                          <c15:sqref>'PPT Work'!$E$71:$P$71</c15:sqref>
                        </c15:fullRef>
                        <c15:formulaRef>
                          <c15:sqref>'PPT Work'!$E$71:$I$71</c15:sqref>
                        </c15:formulaRef>
                      </c:ext>
                    </c:extLst>
                    <c:strCache>
                      <c:ptCount val="5"/>
                      <c:pt idx="0">
                        <c:v>Jan</c:v>
                      </c:pt>
                      <c:pt idx="1">
                        <c:v>Feb</c:v>
                      </c:pt>
                      <c:pt idx="2">
                        <c:v>Mar</c:v>
                      </c:pt>
                      <c:pt idx="3">
                        <c:v>Apr</c:v>
                      </c:pt>
                      <c:pt idx="4">
                        <c:v>May</c:v>
                      </c:pt>
                      <c:pt idx="5">
                        <c:v>Sep</c:v>
                      </c:pt>
                      <c:pt idx="6">
                        <c:v>Oct</c:v>
                      </c:pt>
                      <c:pt idx="7">
                        <c:v>Nov</c:v>
                      </c:pt>
                      <c:pt idx="8">
                        <c:v>Dec</c:v>
                      </c:pt>
                    </c:strCache>
                  </c:strRef>
                </c:cat>
                <c:val>
                  <c:numRef>
                    <c:extLst>
                      <c:ext xmlns:c15="http://schemas.microsoft.com/office/drawing/2012/chart" uri="{02D57815-91ED-43cb-92C2-25804820EDAC}">
                        <c15:fullRef>
                          <c15:sqref>'PPT Work'!$I$86:$P$86</c15:sqref>
                        </c15:fullRef>
                        <c15:formulaRef>
                          <c15:sqref>'PPT Work'!$I$86:$M$86</c15:sqref>
                        </c15:formulaRef>
                      </c:ext>
                    </c:extLst>
                    <c:numCache>
                      <c:formatCode>General</c:formatCode>
                      <c:ptCount val="5"/>
                      <c:pt idx="0">
                        <c:v>1</c:v>
                      </c:pt>
                    </c:numCache>
                  </c:numRef>
                </c:val>
                <c:extLst xmlns:c15="http://schemas.microsoft.com/office/drawing/2012/chart">
                  <c:ext xmlns:c16="http://schemas.microsoft.com/office/drawing/2014/chart" uri="{C3380CC4-5D6E-409C-BE32-E72D297353CC}">
                    <c16:uniqueId val="{00000007-B7A6-4A43-95BF-99651B40C922}"/>
                  </c:ext>
                </c:extLst>
              </c15:ser>
            </c15:filteredBarSeries>
            <c15:filteredBarSeries>
              <c15:ser>
                <c:idx val="15"/>
                <c:order val="15"/>
                <c:tx>
                  <c:strRef>
                    <c:extLst xmlns:c15="http://schemas.microsoft.com/office/drawing/2012/chart">
                      <c:ext xmlns:c15="http://schemas.microsoft.com/office/drawing/2012/chart" uri="{02D57815-91ED-43cb-92C2-25804820EDAC}">
                        <c15:formulaRef>
                          <c15:sqref>'PPT Work'!$A$87:$H$87</c15:sqref>
                        </c15:formulaRef>
                      </c:ext>
                    </c:extLst>
                    <c:strCache>
                      <c:ptCount val="8"/>
                      <c:pt idx="0">
                        <c:v>Stairs, ladders</c:v>
                      </c:pt>
                    </c:strCache>
                  </c:strRef>
                </c:tx>
                <c:spPr>
                  <a:solidFill>
                    <a:schemeClr val="accent4">
                      <a:lumMod val="80000"/>
                      <a:lumOff val="20000"/>
                    </a:schemeClr>
                  </a:solidFill>
                  <a:ln>
                    <a:noFill/>
                  </a:ln>
                  <a:effectLst/>
                </c:spPr>
                <c:invertIfNegative val="0"/>
                <c:cat>
                  <c:strRef>
                    <c:extLst>
                      <c:ext xmlns:c15="http://schemas.microsoft.com/office/drawing/2012/chart" uri="{02D57815-91ED-43cb-92C2-25804820EDAC}">
                        <c15:fullRef>
                          <c15:sqref>'PPT Work'!$E$71:$P$71</c15:sqref>
                        </c15:fullRef>
                        <c15:formulaRef>
                          <c15:sqref>'PPT Work'!$E$71:$I$71</c15:sqref>
                        </c15:formulaRef>
                      </c:ext>
                    </c:extLst>
                    <c:strCache>
                      <c:ptCount val="5"/>
                      <c:pt idx="0">
                        <c:v>Jan</c:v>
                      </c:pt>
                      <c:pt idx="1">
                        <c:v>Feb</c:v>
                      </c:pt>
                      <c:pt idx="2">
                        <c:v>Mar</c:v>
                      </c:pt>
                      <c:pt idx="3">
                        <c:v>Apr</c:v>
                      </c:pt>
                      <c:pt idx="4">
                        <c:v>May</c:v>
                      </c:pt>
                      <c:pt idx="5">
                        <c:v>Sep</c:v>
                      </c:pt>
                      <c:pt idx="6">
                        <c:v>Oct</c:v>
                      </c:pt>
                      <c:pt idx="7">
                        <c:v>Nov</c:v>
                      </c:pt>
                      <c:pt idx="8">
                        <c:v>Dec</c:v>
                      </c:pt>
                    </c:strCache>
                  </c:strRef>
                </c:cat>
                <c:val>
                  <c:numRef>
                    <c:extLst>
                      <c:ext xmlns:c15="http://schemas.microsoft.com/office/drawing/2012/chart" uri="{02D57815-91ED-43cb-92C2-25804820EDAC}">
                        <c15:fullRef>
                          <c15:sqref>'PPT Work'!$I$87:$P$87</c15:sqref>
                        </c15:fullRef>
                        <c15:formulaRef>
                          <c15:sqref>'PPT Work'!$I$87:$M$87</c15:sqref>
                        </c15:formulaRef>
                      </c:ext>
                    </c:extLst>
                    <c:numCache>
                      <c:formatCode>General</c:formatCode>
                      <c:ptCount val="5"/>
                      <c:pt idx="0">
                        <c:v>1</c:v>
                      </c:pt>
                    </c:numCache>
                  </c:numRef>
                </c:val>
                <c:extLst xmlns:c15="http://schemas.microsoft.com/office/drawing/2012/chart">
                  <c:ext xmlns:c16="http://schemas.microsoft.com/office/drawing/2014/chart" uri="{C3380CC4-5D6E-409C-BE32-E72D297353CC}">
                    <c16:uniqueId val="{00000008-B7A6-4A43-95BF-99651B40C922}"/>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'PPT Work'!$A$88:$H$88</c15:sqref>
                        </c15:formulaRef>
                      </c:ext>
                    </c:extLst>
                    <c:strCache>
                      <c:ptCount val="8"/>
                      <c:pt idx="0">
                        <c:v>Tools</c:v>
                      </c:pt>
                      <c:pt idx="7">
                        <c:v>2</c:v>
                      </c:pt>
                    </c:strCache>
                  </c:strRef>
                </c:tx>
                <c:spPr>
                  <a:solidFill>
                    <a:schemeClr val="accent5">
                      <a:lumMod val="80000"/>
                      <a:lumOff val="20000"/>
                    </a:schemeClr>
                  </a:solidFill>
                  <a:ln>
                    <a:noFill/>
                  </a:ln>
                  <a:effectLst/>
                </c:spPr>
                <c:invertIfNegative val="0"/>
                <c:cat>
                  <c:strRef>
                    <c:extLst>
                      <c:ext xmlns:c15="http://schemas.microsoft.com/office/drawing/2012/chart" uri="{02D57815-91ED-43cb-92C2-25804820EDAC}">
                        <c15:fullRef>
                          <c15:sqref>'PPT Work'!$E$71:$P$71</c15:sqref>
                        </c15:fullRef>
                        <c15:formulaRef>
                          <c15:sqref>'PPT Work'!$E$71:$I$71</c15:sqref>
                        </c15:formulaRef>
                      </c:ext>
                    </c:extLst>
                    <c:strCache>
                      <c:ptCount val="5"/>
                      <c:pt idx="0">
                        <c:v>Jan</c:v>
                      </c:pt>
                      <c:pt idx="1">
                        <c:v>Feb</c:v>
                      </c:pt>
                      <c:pt idx="2">
                        <c:v>Mar</c:v>
                      </c:pt>
                      <c:pt idx="3">
                        <c:v>Apr</c:v>
                      </c:pt>
                      <c:pt idx="4">
                        <c:v>May</c:v>
                      </c:pt>
                      <c:pt idx="5">
                        <c:v>Sep</c:v>
                      </c:pt>
                      <c:pt idx="6">
                        <c:v>Oct</c:v>
                      </c:pt>
                      <c:pt idx="7">
                        <c:v>Nov</c:v>
                      </c:pt>
                      <c:pt idx="8">
                        <c:v>Dec</c:v>
                      </c:pt>
                    </c:strCache>
                  </c:strRef>
                </c:cat>
                <c:val>
                  <c:numRef>
                    <c:extLst>
                      <c:ext xmlns:c15="http://schemas.microsoft.com/office/drawing/2012/chart" uri="{02D57815-91ED-43cb-92C2-25804820EDAC}">
                        <c15:fullRef>
                          <c15:sqref>'PPT Work'!$I$88:$P$88</c15:sqref>
                        </c15:fullRef>
                        <c15:formulaRef>
                          <c15:sqref>'PPT Work'!$I$88:$M$88</c15:sqref>
                        </c15:formulaRef>
                      </c:ext>
                    </c:extLst>
                    <c:numCache>
                      <c:formatCode>General</c:formatCode>
                      <c:ptCount val="5"/>
                    </c:numCache>
                  </c:numRef>
                </c:val>
                <c:extLst xmlns:c15="http://schemas.microsoft.com/office/drawing/2012/chart">
                  <c:ext xmlns:c16="http://schemas.microsoft.com/office/drawing/2014/chart" uri="{C3380CC4-5D6E-409C-BE32-E72D297353CC}">
                    <c16:uniqueId val="{00000009-B7A6-4A43-95BF-99651B40C922}"/>
                  </c:ext>
                </c:extLst>
              </c15:ser>
            </c15:filteredBarSeries>
            <c15:filteredBarSeries>
              <c15:ser>
                <c:idx val="17"/>
                <c:order val="17"/>
                <c:tx>
                  <c:strRef>
                    <c:extLst xmlns:c15="http://schemas.microsoft.com/office/drawing/2012/chart">
                      <c:ext xmlns:c15="http://schemas.microsoft.com/office/drawing/2012/chart" uri="{02D57815-91ED-43cb-92C2-25804820EDAC}">
                        <c15:formulaRef>
                          <c15:sqref>'PPT Work'!$A$89:$H$89</c15:sqref>
                        </c15:formulaRef>
                      </c:ext>
                    </c:extLst>
                    <c:strCache>
                      <c:ptCount val="8"/>
                      <c:pt idx="0">
                        <c:v>Vehicle company owned </c:v>
                      </c:pt>
                    </c:strCache>
                  </c:strRef>
                </c:tx>
                <c:spPr>
                  <a:solidFill>
                    <a:schemeClr val="accent6">
                      <a:lumMod val="80000"/>
                      <a:lumOff val="20000"/>
                    </a:schemeClr>
                  </a:solidFill>
                  <a:ln>
                    <a:noFill/>
                  </a:ln>
                  <a:effectLst/>
                </c:spPr>
                <c:invertIfNegative val="0"/>
                <c:cat>
                  <c:strRef>
                    <c:extLst>
                      <c:ext xmlns:c15="http://schemas.microsoft.com/office/drawing/2012/chart" uri="{02D57815-91ED-43cb-92C2-25804820EDAC}">
                        <c15:fullRef>
                          <c15:sqref>'PPT Work'!$E$71:$P$71</c15:sqref>
                        </c15:fullRef>
                        <c15:formulaRef>
                          <c15:sqref>'PPT Work'!$E$71:$I$71</c15:sqref>
                        </c15:formulaRef>
                      </c:ext>
                    </c:extLst>
                    <c:strCache>
                      <c:ptCount val="5"/>
                      <c:pt idx="0">
                        <c:v>Jan</c:v>
                      </c:pt>
                      <c:pt idx="1">
                        <c:v>Feb</c:v>
                      </c:pt>
                      <c:pt idx="2">
                        <c:v>Mar</c:v>
                      </c:pt>
                      <c:pt idx="3">
                        <c:v>Apr</c:v>
                      </c:pt>
                      <c:pt idx="4">
                        <c:v>May</c:v>
                      </c:pt>
                      <c:pt idx="5">
                        <c:v>Sep</c:v>
                      </c:pt>
                      <c:pt idx="6">
                        <c:v>Oct</c:v>
                      </c:pt>
                      <c:pt idx="7">
                        <c:v>Nov</c:v>
                      </c:pt>
                      <c:pt idx="8">
                        <c:v>Dec</c:v>
                      </c:pt>
                    </c:strCache>
                  </c:strRef>
                </c:cat>
                <c:val>
                  <c:numRef>
                    <c:extLst>
                      <c:ext xmlns:c15="http://schemas.microsoft.com/office/drawing/2012/chart" uri="{02D57815-91ED-43cb-92C2-25804820EDAC}">
                        <c15:fullRef>
                          <c15:sqref>'PPT Work'!$I$89:$P$89</c15:sqref>
                        </c15:fullRef>
                        <c15:formulaRef>
                          <c15:sqref>'PPT Work'!$I$89:$M$89</c15:sqref>
                        </c15:formulaRef>
                      </c:ext>
                    </c:extLst>
                    <c:numCache>
                      <c:formatCode>General</c:formatCode>
                      <c:ptCount val="5"/>
                    </c:numCache>
                  </c:numRef>
                </c:val>
                <c:extLst xmlns:c15="http://schemas.microsoft.com/office/drawing/2012/chart">
                  <c:ext xmlns:c16="http://schemas.microsoft.com/office/drawing/2014/chart" uri="{C3380CC4-5D6E-409C-BE32-E72D297353CC}">
                    <c16:uniqueId val="{0000000A-B7A6-4A43-95BF-99651B40C922}"/>
                  </c:ext>
                </c:extLst>
              </c15:ser>
            </c15:filteredBarSeries>
            <c15:filteredBarSeries>
              <c15:ser>
                <c:idx val="18"/>
                <c:order val="18"/>
                <c:tx>
                  <c:strRef>
                    <c:extLst xmlns:c15="http://schemas.microsoft.com/office/drawing/2012/chart">
                      <c:ext xmlns:c15="http://schemas.microsoft.com/office/drawing/2012/chart" uri="{02D57815-91ED-43cb-92C2-25804820EDAC}">
                        <c15:formulaRef>
                          <c15:sqref>'PPT Work'!$A$90:$H$90</c15:sqref>
                        </c15:formulaRef>
                      </c:ext>
                    </c:extLst>
                    <c:strCache>
                      <c:ptCount val="8"/>
                      <c:pt idx="0">
                        <c:v>Vehicle not company owned </c:v>
                      </c:pt>
                    </c:strCache>
                  </c:strRef>
                </c:tx>
                <c:spPr>
                  <a:solidFill>
                    <a:schemeClr val="accent1">
                      <a:lumMod val="80000"/>
                    </a:schemeClr>
                  </a:solidFill>
                  <a:ln>
                    <a:noFill/>
                  </a:ln>
                  <a:effectLst/>
                </c:spPr>
                <c:invertIfNegative val="0"/>
                <c:cat>
                  <c:strRef>
                    <c:extLst>
                      <c:ext xmlns:c15="http://schemas.microsoft.com/office/drawing/2012/chart" uri="{02D57815-91ED-43cb-92C2-25804820EDAC}">
                        <c15:fullRef>
                          <c15:sqref>'PPT Work'!$E$71:$P$71</c15:sqref>
                        </c15:fullRef>
                        <c15:formulaRef>
                          <c15:sqref>'PPT Work'!$E$71:$I$71</c15:sqref>
                        </c15:formulaRef>
                      </c:ext>
                    </c:extLst>
                    <c:strCache>
                      <c:ptCount val="5"/>
                      <c:pt idx="0">
                        <c:v>Jan</c:v>
                      </c:pt>
                      <c:pt idx="1">
                        <c:v>Feb</c:v>
                      </c:pt>
                      <c:pt idx="2">
                        <c:v>Mar</c:v>
                      </c:pt>
                      <c:pt idx="3">
                        <c:v>Apr</c:v>
                      </c:pt>
                      <c:pt idx="4">
                        <c:v>May</c:v>
                      </c:pt>
                      <c:pt idx="5">
                        <c:v>Sep</c:v>
                      </c:pt>
                      <c:pt idx="6">
                        <c:v>Oct</c:v>
                      </c:pt>
                      <c:pt idx="7">
                        <c:v>Nov</c:v>
                      </c:pt>
                      <c:pt idx="8">
                        <c:v>Dec</c:v>
                      </c:pt>
                    </c:strCache>
                  </c:strRef>
                </c:cat>
                <c:val>
                  <c:numRef>
                    <c:extLst>
                      <c:ext xmlns:c15="http://schemas.microsoft.com/office/drawing/2012/chart" uri="{02D57815-91ED-43cb-92C2-25804820EDAC}">
                        <c15:fullRef>
                          <c15:sqref>'PPT Work'!$I$90:$P$90</c15:sqref>
                        </c15:fullRef>
                        <c15:formulaRef>
                          <c15:sqref>'PPT Work'!$I$90:$M$90</c15:sqref>
                        </c15:formulaRef>
                      </c:ext>
                    </c:extLst>
                    <c:numCache>
                      <c:formatCode>General</c:formatCode>
                      <c:ptCount val="5"/>
                    </c:numCache>
                  </c:numRef>
                </c:val>
                <c:extLst xmlns:c15="http://schemas.microsoft.com/office/drawing/2012/chart">
                  <c:ext xmlns:c16="http://schemas.microsoft.com/office/drawing/2014/chart" uri="{C3380CC4-5D6E-409C-BE32-E72D297353CC}">
                    <c16:uniqueId val="{0000000B-B7A6-4A43-95BF-99651B40C922}"/>
                  </c:ext>
                </c:extLst>
              </c15:ser>
            </c15:filteredBarSeries>
            <c15:filteredBarSeries>
              <c15:ser>
                <c:idx val="19"/>
                <c:order val="19"/>
                <c:tx>
                  <c:strRef>
                    <c:extLst xmlns:c15="http://schemas.microsoft.com/office/drawing/2012/chart">
                      <c:ext xmlns:c15="http://schemas.microsoft.com/office/drawing/2012/chart" uri="{02D57815-91ED-43cb-92C2-25804820EDAC}">
                        <c15:formulaRef>
                          <c15:sqref>'PPT Work'!$A$91:$H$91</c15:sqref>
                        </c15:formulaRef>
                      </c:ext>
                    </c:extLst>
                    <c:strCache>
                      <c:ptCount val="8"/>
                      <c:pt idx="0">
                        <c:v>Walking working surface</c:v>
                      </c:pt>
                      <c:pt idx="6">
                        <c:v>1</c:v>
                      </c:pt>
                    </c:strCache>
                  </c:strRef>
                </c:tx>
                <c:spPr>
                  <a:solidFill>
                    <a:schemeClr val="accent2">
                      <a:lumMod val="80000"/>
                    </a:schemeClr>
                  </a:solidFill>
                  <a:ln>
                    <a:noFill/>
                  </a:ln>
                  <a:effectLst/>
                </c:spPr>
                <c:invertIfNegative val="0"/>
                <c:cat>
                  <c:strRef>
                    <c:extLst>
                      <c:ext xmlns:c15="http://schemas.microsoft.com/office/drawing/2012/chart" uri="{02D57815-91ED-43cb-92C2-25804820EDAC}">
                        <c15:fullRef>
                          <c15:sqref>'PPT Work'!$E$71:$P$71</c15:sqref>
                        </c15:fullRef>
                        <c15:formulaRef>
                          <c15:sqref>'PPT Work'!$E$71:$I$71</c15:sqref>
                        </c15:formulaRef>
                      </c:ext>
                    </c:extLst>
                    <c:strCache>
                      <c:ptCount val="5"/>
                      <c:pt idx="0">
                        <c:v>Jan</c:v>
                      </c:pt>
                      <c:pt idx="1">
                        <c:v>Feb</c:v>
                      </c:pt>
                      <c:pt idx="2">
                        <c:v>Mar</c:v>
                      </c:pt>
                      <c:pt idx="3">
                        <c:v>Apr</c:v>
                      </c:pt>
                      <c:pt idx="4">
                        <c:v>May</c:v>
                      </c:pt>
                      <c:pt idx="5">
                        <c:v>Sep</c:v>
                      </c:pt>
                      <c:pt idx="6">
                        <c:v>Oct</c:v>
                      </c:pt>
                      <c:pt idx="7">
                        <c:v>Nov</c:v>
                      </c:pt>
                      <c:pt idx="8">
                        <c:v>Dec</c:v>
                      </c:pt>
                    </c:strCache>
                  </c:strRef>
                </c:cat>
                <c:val>
                  <c:numRef>
                    <c:extLst>
                      <c:ext xmlns:c15="http://schemas.microsoft.com/office/drawing/2012/chart" uri="{02D57815-91ED-43cb-92C2-25804820EDAC}">
                        <c15:fullRef>
                          <c15:sqref>'PPT Work'!$I$91:$P$91</c15:sqref>
                        </c15:fullRef>
                        <c15:formulaRef>
                          <c15:sqref>'PPT Work'!$I$91:$M$91</c15:sqref>
                        </c15:formulaRef>
                      </c:ext>
                    </c:extLst>
                    <c:numCache>
                      <c:formatCode>General</c:formatCode>
                      <c:ptCount val="5"/>
                      <c:pt idx="0">
                        <c:v>3</c:v>
                      </c:pt>
                    </c:numCache>
                  </c:numRef>
                </c:val>
                <c:extLst xmlns:c15="http://schemas.microsoft.com/office/drawing/2012/chart">
                  <c:ext xmlns:c16="http://schemas.microsoft.com/office/drawing/2014/chart" uri="{C3380CC4-5D6E-409C-BE32-E72D297353CC}">
                    <c16:uniqueId val="{0000000C-B7A6-4A43-95BF-99651B40C922}"/>
                  </c:ext>
                </c:extLst>
              </c15:ser>
            </c15:filteredBarSeries>
            <c15:filteredBarSeries>
              <c15:ser>
                <c:idx val="20"/>
                <c:order val="20"/>
                <c:tx>
                  <c:strRef>
                    <c:extLst xmlns:c15="http://schemas.microsoft.com/office/drawing/2012/chart">
                      <c:ext xmlns:c15="http://schemas.microsoft.com/office/drawing/2012/chart" uri="{02D57815-91ED-43cb-92C2-25804820EDAC}">
                        <c15:formulaRef>
                          <c15:sqref>'PPT Work'!$A$92:$H$92</c15:sqref>
                        </c15:formulaRef>
                      </c:ext>
                    </c:extLst>
                    <c:strCache>
                      <c:ptCount val="8"/>
                      <c:pt idx="0">
                        <c:v>Work at elevation</c:v>
                      </c:pt>
                    </c:strCache>
                  </c:strRef>
                </c:tx>
                <c:spPr>
                  <a:solidFill>
                    <a:schemeClr val="accent3">
                      <a:lumMod val="80000"/>
                    </a:schemeClr>
                  </a:solidFill>
                  <a:ln>
                    <a:noFill/>
                  </a:ln>
                  <a:effectLst/>
                </c:spPr>
                <c:invertIfNegative val="0"/>
                <c:cat>
                  <c:strRef>
                    <c:extLst>
                      <c:ext xmlns:c15="http://schemas.microsoft.com/office/drawing/2012/chart" uri="{02D57815-91ED-43cb-92C2-25804820EDAC}">
                        <c15:fullRef>
                          <c15:sqref>'PPT Work'!$E$71:$P$71</c15:sqref>
                        </c15:fullRef>
                        <c15:formulaRef>
                          <c15:sqref>'PPT Work'!$E$71:$I$71</c15:sqref>
                        </c15:formulaRef>
                      </c:ext>
                    </c:extLst>
                    <c:strCache>
                      <c:ptCount val="5"/>
                      <c:pt idx="0">
                        <c:v>Jan</c:v>
                      </c:pt>
                      <c:pt idx="1">
                        <c:v>Feb</c:v>
                      </c:pt>
                      <c:pt idx="2">
                        <c:v>Mar</c:v>
                      </c:pt>
                      <c:pt idx="3">
                        <c:v>Apr</c:v>
                      </c:pt>
                      <c:pt idx="4">
                        <c:v>May</c:v>
                      </c:pt>
                      <c:pt idx="5">
                        <c:v>Sep</c:v>
                      </c:pt>
                      <c:pt idx="6">
                        <c:v>Oct</c:v>
                      </c:pt>
                      <c:pt idx="7">
                        <c:v>Nov</c:v>
                      </c:pt>
                      <c:pt idx="8">
                        <c:v>Dec</c:v>
                      </c:pt>
                    </c:strCache>
                  </c:strRef>
                </c:cat>
                <c:val>
                  <c:numRef>
                    <c:extLst>
                      <c:ext xmlns:c15="http://schemas.microsoft.com/office/drawing/2012/chart" uri="{02D57815-91ED-43cb-92C2-25804820EDAC}">
                        <c15:fullRef>
                          <c15:sqref>'PPT Work'!$I$92:$P$92</c15:sqref>
                        </c15:fullRef>
                        <c15:formulaRef>
                          <c15:sqref>'PPT Work'!$I$92:$M$92</c15:sqref>
                        </c15:formulaRef>
                      </c:ext>
                    </c:extLst>
                    <c:numCache>
                      <c:formatCode>General</c:formatCode>
                      <c:ptCount val="5"/>
                    </c:numCache>
                  </c:numRef>
                </c:val>
                <c:extLst xmlns:c15="http://schemas.microsoft.com/office/drawing/2012/chart">
                  <c:ext xmlns:c16="http://schemas.microsoft.com/office/drawing/2014/chart" uri="{C3380CC4-5D6E-409C-BE32-E72D297353CC}">
                    <c16:uniqueId val="{0000000D-B7A6-4A43-95BF-99651B40C922}"/>
                  </c:ext>
                </c:extLst>
              </c15:ser>
            </c15:filteredBarSeries>
          </c:ext>
        </c:extLst>
      </c:barChart>
      <c:catAx>
        <c:axId val="798031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032576"/>
        <c:crosses val="autoZero"/>
        <c:auto val="1"/>
        <c:lblAlgn val="ctr"/>
        <c:lblOffset val="100"/>
        <c:noMultiLvlLbl val="0"/>
      </c:catAx>
      <c:valAx>
        <c:axId val="7980325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0311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 LCY TRIR Experience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'TRIR EXP.'!$G$18</c:f>
              <c:strCache>
                <c:ptCount val="1"/>
                <c:pt idx="0">
                  <c:v>LCY TRIR</c:v>
                </c:pt>
              </c:strCache>
            </c:strRef>
          </c:tx>
          <c:spPr>
            <a:ln w="28575" cap="rnd">
              <a:solidFill>
                <a:srgbClr val="C000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numRef>
              <c:f>'TRIR EXP.'!$H$7:$M$7</c:f>
              <c:numCache>
                <c:formatCode>General</c:formatCode>
                <c:ptCount val="6"/>
                <c:pt idx="0">
                  <c:v>2021</c:v>
                </c:pt>
                <c:pt idx="1">
                  <c:v>2022</c:v>
                </c:pt>
                <c:pt idx="2">
                  <c:v>2023</c:v>
                </c:pt>
                <c:pt idx="3">
                  <c:v>2024</c:v>
                </c:pt>
                <c:pt idx="4">
                  <c:v>2025</c:v>
                </c:pt>
                <c:pt idx="5">
                  <c:v>2026</c:v>
                </c:pt>
              </c:numCache>
            </c:numRef>
          </c:cat>
          <c:val>
            <c:numRef>
              <c:f>'TRIR EXP.'!$H$18:$M$18</c:f>
              <c:numCache>
                <c:formatCode>0.00</c:formatCode>
                <c:ptCount val="6"/>
                <c:pt idx="0">
                  <c:v>1.1599999999999999</c:v>
                </c:pt>
                <c:pt idx="1">
                  <c:v>3.4</c:v>
                </c:pt>
                <c:pt idx="2">
                  <c:v>1.19</c:v>
                </c:pt>
                <c:pt idx="3">
                  <c:v>1.1399999999999999</c:v>
                </c:pt>
                <c:pt idx="4">
                  <c:v>0</c:v>
                </c:pt>
                <c:pt idx="5">
                  <c:v>1.3774673884595783</c:v>
                </c:pt>
              </c:numCache>
            </c:numRef>
          </c:val>
          <c:smooth val="0"/>
          <c:extLst>
            <c:ext xmlns:c16="http://schemas.microsoft.com/office/drawing/2014/chart" uri="{C3380CC4-5D6E-409C-BE32-E72D297353CC}">
              <c16:uniqueId val="{00000001-9C11-49BC-A934-ED101BB7A0B1}"/>
            </c:ext>
          </c:extLst>
        </c:ser>
        <c:ser>
          <c:idx val="1"/>
          <c:order val="1"/>
          <c:tx>
            <c:strRef>
              <c:f>'TRIR EXP.'!$G$19</c:f>
              <c:strCache>
                <c:ptCount val="1"/>
                <c:pt idx="0">
                  <c:v>Bureau of labor Statistics industry avg.</c:v>
                </c:pt>
              </c:strCache>
            </c:strRef>
          </c:tx>
          <c:spPr>
            <a:ln w="28575" cap="rnd">
              <a:solidFill>
                <a:schemeClr val="bg1">
                  <a:lumMod val="65000"/>
                </a:schemeClr>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7-9C11-49BC-A934-ED101BB7A0B1}"/>
                </c:ext>
              </c:extLst>
            </c:dLbl>
            <c:dLbl>
              <c:idx val="1"/>
              <c:delete val="1"/>
              <c:extLst>
                <c:ext xmlns:c15="http://schemas.microsoft.com/office/drawing/2012/chart" uri="{CE6537A1-D6FC-4f65-9D91-7224C49458BB}"/>
                <c:ext xmlns:c16="http://schemas.microsoft.com/office/drawing/2014/chart" uri="{C3380CC4-5D6E-409C-BE32-E72D297353CC}">
                  <c16:uniqueId val="{00000006-9C11-49BC-A934-ED101BB7A0B1}"/>
                </c:ext>
              </c:extLst>
            </c:dLbl>
            <c:dLbl>
              <c:idx val="2"/>
              <c:delete val="1"/>
              <c:extLst>
                <c:ext xmlns:c15="http://schemas.microsoft.com/office/drawing/2012/chart" uri="{CE6537A1-D6FC-4f65-9D91-7224C49458BB}"/>
                <c:ext xmlns:c16="http://schemas.microsoft.com/office/drawing/2014/chart" uri="{C3380CC4-5D6E-409C-BE32-E72D297353CC}">
                  <c16:uniqueId val="{00000004-9C11-49BC-A934-ED101BB7A0B1}"/>
                </c:ext>
              </c:extLst>
            </c:dLbl>
            <c:dLbl>
              <c:idx val="3"/>
              <c:delete val="1"/>
              <c:extLst>
                <c:ext xmlns:c15="http://schemas.microsoft.com/office/drawing/2012/chart" uri="{CE6537A1-D6FC-4f65-9D91-7224C49458BB}"/>
                <c:ext xmlns:c16="http://schemas.microsoft.com/office/drawing/2014/chart" uri="{C3380CC4-5D6E-409C-BE32-E72D297353CC}">
                  <c16:uniqueId val="{00000005-9C11-49BC-A934-ED101BB7A0B1}"/>
                </c:ext>
              </c:extLst>
            </c:dLbl>
            <c:dLbl>
              <c:idx val="4"/>
              <c:layout>
                <c:manualLayout>
                  <c:x val="0.14982069995259711"/>
                  <c:y val="0"/>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C11-49BC-A934-ED101BB7A0B1}"/>
                </c:ext>
              </c:extLst>
            </c:dLbl>
            <c:dLbl>
              <c:idx val="5"/>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01-46BB-4F77-8BB9-B71BDACC250F}"/>
                </c:ext>
              </c:extLst>
            </c:dLbl>
            <c:spPr>
              <a:solidFill>
                <a:schemeClr val="tx1"/>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'TRIR EXP.'!$H$7:$M$7</c:f>
              <c:numCache>
                <c:formatCode>General</c:formatCode>
                <c:ptCount val="6"/>
                <c:pt idx="0">
                  <c:v>2021</c:v>
                </c:pt>
                <c:pt idx="1">
                  <c:v>2022</c:v>
                </c:pt>
                <c:pt idx="2">
                  <c:v>2023</c:v>
                </c:pt>
                <c:pt idx="3">
                  <c:v>2024</c:v>
                </c:pt>
                <c:pt idx="4">
                  <c:v>2025</c:v>
                </c:pt>
                <c:pt idx="5">
                  <c:v>2026</c:v>
                </c:pt>
              </c:numCache>
            </c:numRef>
          </c:cat>
          <c:val>
            <c:numRef>
              <c:f>'TRIR EXP.'!$H$19:$M$19</c:f>
              <c:numCache>
                <c:formatCode>General</c:formatCode>
                <c:ptCount val="6"/>
                <c:pt idx="0">
                  <c:v>2.7</c:v>
                </c:pt>
                <c:pt idx="1">
                  <c:v>1.9</c:v>
                </c:pt>
                <c:pt idx="2">
                  <c:v>1.9</c:v>
                </c:pt>
                <c:pt idx="3">
                  <c:v>1.9</c:v>
                </c:pt>
                <c:pt idx="4">
                  <c:v>1.9</c:v>
                </c:pt>
                <c:pt idx="5">
                  <c:v>1.9</c:v>
                </c:pt>
              </c:numCache>
            </c:numRef>
          </c:val>
          <c:smooth val="0"/>
          <c:extLst>
            <c:ext xmlns:c16="http://schemas.microsoft.com/office/drawing/2014/chart" uri="{C3380CC4-5D6E-409C-BE32-E72D297353CC}">
              <c16:uniqueId val="{00000002-9C11-49BC-A934-ED101BB7A0B1}"/>
            </c:ext>
          </c:extLst>
        </c:ser>
        <c:dLbls>
          <c:showLegendKey val="0"/>
          <c:showVal val="0"/>
          <c:showCatName val="0"/>
          <c:showSerName val="0"/>
          <c:showPercent val="0"/>
          <c:showBubbleSize val="0"/>
        </c:dLbls>
        <c:marker val="1"/>
        <c:smooth val="0"/>
        <c:axId val="1176933679"/>
        <c:axId val="1176924943"/>
      </c:lineChart>
      <c:lineChart>
        <c:grouping val="standard"/>
        <c:varyColors val="0"/>
        <c:ser>
          <c:idx val="2"/>
          <c:order val="2"/>
          <c:tx>
            <c:strRef>
              <c:f>'TRIR EXP.'!$G$15</c:f>
              <c:strCache>
                <c:ptCount val="1"/>
                <c:pt idx="0">
                  <c:v>Man Hours</c:v>
                </c:pt>
              </c:strCache>
            </c:strRef>
          </c:tx>
          <c:spPr>
            <a:ln w="28575" cap="rnd">
              <a:solidFill>
                <a:srgbClr val="FFFF00"/>
              </a:solidFill>
              <a:round/>
            </a:ln>
            <a:effectLst/>
          </c:spPr>
          <c:marker>
            <c:symbol val="none"/>
          </c:marker>
          <c:cat>
            <c:numRef>
              <c:f>'TRIR EXP.'!$H$7:$M$7</c:f>
              <c:numCache>
                <c:formatCode>General</c:formatCode>
                <c:ptCount val="6"/>
                <c:pt idx="0">
                  <c:v>2021</c:v>
                </c:pt>
                <c:pt idx="1">
                  <c:v>2022</c:v>
                </c:pt>
                <c:pt idx="2">
                  <c:v>2023</c:v>
                </c:pt>
                <c:pt idx="3">
                  <c:v>2024</c:v>
                </c:pt>
                <c:pt idx="4">
                  <c:v>2025</c:v>
                </c:pt>
                <c:pt idx="5">
                  <c:v>2026</c:v>
                </c:pt>
              </c:numCache>
            </c:numRef>
          </c:cat>
          <c:val>
            <c:numRef>
              <c:f>'TRIR EXP.'!$H$15:$M$15</c:f>
              <c:numCache>
                <c:formatCode>#,##0</c:formatCode>
                <c:ptCount val="6"/>
                <c:pt idx="0">
                  <c:v>172301</c:v>
                </c:pt>
                <c:pt idx="1">
                  <c:v>176350</c:v>
                </c:pt>
                <c:pt idx="2">
                  <c:v>168563</c:v>
                </c:pt>
                <c:pt idx="3">
                  <c:v>174706</c:v>
                </c:pt>
                <c:pt idx="4">
                  <c:v>191751</c:v>
                </c:pt>
                <c:pt idx="5">
                  <c:v>145194</c:v>
                </c:pt>
              </c:numCache>
            </c:numRef>
          </c:val>
          <c:smooth val="0"/>
          <c:extLst>
            <c:ext xmlns:c16="http://schemas.microsoft.com/office/drawing/2014/chart" uri="{C3380CC4-5D6E-409C-BE32-E72D297353CC}">
              <c16:uniqueId val="{00000003-9C11-49BC-A934-ED101BB7A0B1}"/>
            </c:ext>
          </c:extLst>
        </c:ser>
        <c:dLbls>
          <c:showLegendKey val="0"/>
          <c:showVal val="0"/>
          <c:showCatName val="0"/>
          <c:showSerName val="0"/>
          <c:showPercent val="0"/>
          <c:showBubbleSize val="0"/>
        </c:dLbls>
        <c:marker val="1"/>
        <c:smooth val="0"/>
        <c:axId val="1501151119"/>
        <c:axId val="1497089295"/>
      </c:lineChart>
      <c:catAx>
        <c:axId val="117693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924943"/>
        <c:crosses val="autoZero"/>
        <c:auto val="1"/>
        <c:lblAlgn val="ctr"/>
        <c:lblOffset val="100"/>
        <c:noMultiLvlLbl val="0"/>
      </c:catAx>
      <c:valAx>
        <c:axId val="117692494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933679"/>
        <c:crosses val="autoZero"/>
        <c:crossBetween val="between"/>
      </c:valAx>
      <c:valAx>
        <c:axId val="1497089295"/>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151119"/>
        <c:crosses val="max"/>
        <c:crossBetween val="between"/>
      </c:valAx>
      <c:catAx>
        <c:axId val="1501151119"/>
        <c:scaling>
          <c:orientation val="minMax"/>
        </c:scaling>
        <c:delete val="1"/>
        <c:axPos val="b"/>
        <c:numFmt formatCode="General" sourceLinked="1"/>
        <c:majorTickMark val="out"/>
        <c:minorTickMark val="none"/>
        <c:tickLblPos val="nextTo"/>
        <c:crossAx val="149708929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chart" Target="../charts/chart14.xml"/><Relationship Id="rId3" Type="http://schemas.openxmlformats.org/officeDocument/2006/relationships/chart" Target="../charts/chart4.xml"/><Relationship Id="rId7" Type="http://schemas.openxmlformats.org/officeDocument/2006/relationships/chart" Target="../charts/chart8.xml"/><Relationship Id="rId12" Type="http://schemas.openxmlformats.org/officeDocument/2006/relationships/chart" Target="../charts/chart13.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chart" Target="../charts/chart6.xml"/><Relationship Id="rId15" Type="http://schemas.openxmlformats.org/officeDocument/2006/relationships/chart" Target="../charts/chart16.xml"/><Relationship Id="rId10" Type="http://schemas.openxmlformats.org/officeDocument/2006/relationships/chart" Target="../charts/chart11.xml"/><Relationship Id="rId4" Type="http://schemas.openxmlformats.org/officeDocument/2006/relationships/chart" Target="../charts/chart5.xml"/><Relationship Id="rId9" Type="http://schemas.openxmlformats.org/officeDocument/2006/relationships/chart" Target="../charts/chart10.xml"/><Relationship Id="rId14" Type="http://schemas.openxmlformats.org/officeDocument/2006/relationships/chart" Target="../charts/chart15.xml"/></Relationships>
</file>

<file path=xl/drawings/_rels/drawing4.xml.rels><?xml version="1.0" encoding="UTF-8" standalone="yes"?>
<Relationships xmlns="http://schemas.openxmlformats.org/package/2006/relationships"><Relationship Id="rId8" Type="http://schemas.openxmlformats.org/officeDocument/2006/relationships/chart" Target="../charts/chart24.xml"/><Relationship Id="rId13" Type="http://schemas.openxmlformats.org/officeDocument/2006/relationships/chart" Target="../charts/chart29.xml"/><Relationship Id="rId3" Type="http://schemas.openxmlformats.org/officeDocument/2006/relationships/chart" Target="../charts/chart19.xml"/><Relationship Id="rId7" Type="http://schemas.openxmlformats.org/officeDocument/2006/relationships/chart" Target="../charts/chart23.xml"/><Relationship Id="rId12" Type="http://schemas.openxmlformats.org/officeDocument/2006/relationships/chart" Target="../charts/chart28.xml"/><Relationship Id="rId2" Type="http://schemas.openxmlformats.org/officeDocument/2006/relationships/chart" Target="../charts/chart18.xml"/><Relationship Id="rId1" Type="http://schemas.openxmlformats.org/officeDocument/2006/relationships/chart" Target="../charts/chart17.xml"/><Relationship Id="rId6" Type="http://schemas.openxmlformats.org/officeDocument/2006/relationships/chart" Target="../charts/chart22.xml"/><Relationship Id="rId11" Type="http://schemas.openxmlformats.org/officeDocument/2006/relationships/chart" Target="../charts/chart27.xml"/><Relationship Id="rId5" Type="http://schemas.openxmlformats.org/officeDocument/2006/relationships/chart" Target="../charts/chart21.xml"/><Relationship Id="rId10" Type="http://schemas.openxmlformats.org/officeDocument/2006/relationships/chart" Target="../charts/chart26.xml"/><Relationship Id="rId4" Type="http://schemas.openxmlformats.org/officeDocument/2006/relationships/chart" Target="../charts/chart20.xml"/><Relationship Id="rId9" Type="http://schemas.openxmlformats.org/officeDocument/2006/relationships/chart" Target="../charts/chart25.xml"/><Relationship Id="rId14" Type="http://schemas.openxmlformats.org/officeDocument/2006/relationships/chart" Target="../charts/chart30.xml"/></Relationships>
</file>

<file path=xl/drawings/_rels/drawing5.xml.rels><?xml version="1.0" encoding="UTF-8" standalone="yes"?>
<Relationships xmlns="http://schemas.openxmlformats.org/package/2006/relationships"><Relationship Id="rId3" Type="http://schemas.openxmlformats.org/officeDocument/2006/relationships/chart" Target="../charts/chart33.xml"/><Relationship Id="rId2" Type="http://schemas.openxmlformats.org/officeDocument/2006/relationships/chart" Target="../charts/chart32.xml"/><Relationship Id="rId1" Type="http://schemas.openxmlformats.org/officeDocument/2006/relationships/chart" Target="../charts/chart31.xml"/><Relationship Id="rId4" Type="http://schemas.openxmlformats.org/officeDocument/2006/relationships/chart" Target="../charts/chart34.xml"/></Relationships>
</file>

<file path=xl/drawings/_rels/drawing6.xml.rels><?xml version="1.0" encoding="UTF-8" standalone="yes"?>
<Relationships xmlns="http://schemas.openxmlformats.org/package/2006/relationships"><Relationship Id="rId8" Type="http://schemas.openxmlformats.org/officeDocument/2006/relationships/chart" Target="../charts/chart42.xml"/><Relationship Id="rId3" Type="http://schemas.openxmlformats.org/officeDocument/2006/relationships/chart" Target="../charts/chart37.xml"/><Relationship Id="rId7" Type="http://schemas.openxmlformats.org/officeDocument/2006/relationships/chart" Target="../charts/chart41.xml"/><Relationship Id="rId12" Type="http://schemas.openxmlformats.org/officeDocument/2006/relationships/chart" Target="../charts/chart46.xml"/><Relationship Id="rId2" Type="http://schemas.openxmlformats.org/officeDocument/2006/relationships/chart" Target="../charts/chart36.xml"/><Relationship Id="rId1" Type="http://schemas.openxmlformats.org/officeDocument/2006/relationships/chart" Target="../charts/chart35.xml"/><Relationship Id="rId6" Type="http://schemas.openxmlformats.org/officeDocument/2006/relationships/chart" Target="../charts/chart40.xml"/><Relationship Id="rId11" Type="http://schemas.openxmlformats.org/officeDocument/2006/relationships/chart" Target="../charts/chart45.xml"/><Relationship Id="rId5" Type="http://schemas.openxmlformats.org/officeDocument/2006/relationships/chart" Target="../charts/chart39.xml"/><Relationship Id="rId10" Type="http://schemas.openxmlformats.org/officeDocument/2006/relationships/chart" Target="../charts/chart44.xml"/><Relationship Id="rId4" Type="http://schemas.openxmlformats.org/officeDocument/2006/relationships/chart" Target="../charts/chart38.xml"/><Relationship Id="rId9" Type="http://schemas.openxmlformats.org/officeDocument/2006/relationships/chart" Target="../charts/chart4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48.xml"/><Relationship Id="rId1" Type="http://schemas.openxmlformats.org/officeDocument/2006/relationships/chart" Target="../charts/chart47.xml"/></Relationships>
</file>

<file path=xl/drawings/_rels/drawing9.xml.rels><?xml version="1.0" encoding="UTF-8" standalone="yes"?>
<Relationships xmlns="http://schemas.openxmlformats.org/package/2006/relationships"><Relationship Id="rId8" Type="http://schemas.openxmlformats.org/officeDocument/2006/relationships/chart" Target="../charts/chart56.xml"/><Relationship Id="rId3" Type="http://schemas.openxmlformats.org/officeDocument/2006/relationships/chart" Target="../charts/chart51.xml"/><Relationship Id="rId7" Type="http://schemas.openxmlformats.org/officeDocument/2006/relationships/chart" Target="../charts/chart55.xml"/><Relationship Id="rId2" Type="http://schemas.openxmlformats.org/officeDocument/2006/relationships/chart" Target="../charts/chart50.xml"/><Relationship Id="rId1" Type="http://schemas.openxmlformats.org/officeDocument/2006/relationships/chart" Target="../charts/chart49.xml"/><Relationship Id="rId6" Type="http://schemas.openxmlformats.org/officeDocument/2006/relationships/chart" Target="../charts/chart54.xml"/><Relationship Id="rId11" Type="http://schemas.openxmlformats.org/officeDocument/2006/relationships/chart" Target="../charts/chart59.xml"/><Relationship Id="rId5" Type="http://schemas.openxmlformats.org/officeDocument/2006/relationships/chart" Target="../charts/chart53.xml"/><Relationship Id="rId10" Type="http://schemas.openxmlformats.org/officeDocument/2006/relationships/chart" Target="../charts/chart58.xml"/><Relationship Id="rId4" Type="http://schemas.openxmlformats.org/officeDocument/2006/relationships/chart" Target="../charts/chart52.xml"/><Relationship Id="rId9" Type="http://schemas.openxmlformats.org/officeDocument/2006/relationships/chart" Target="../charts/chart57.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67.xml"/><Relationship Id="rId13" Type="http://schemas.openxmlformats.org/officeDocument/2006/relationships/chart" Target="../charts/chart72.xml"/><Relationship Id="rId18" Type="http://schemas.openxmlformats.org/officeDocument/2006/relationships/chart" Target="../charts/chart77.xml"/><Relationship Id="rId3" Type="http://schemas.openxmlformats.org/officeDocument/2006/relationships/chart" Target="../charts/chart62.xml"/><Relationship Id="rId7" Type="http://schemas.openxmlformats.org/officeDocument/2006/relationships/chart" Target="../charts/chart66.xml"/><Relationship Id="rId12" Type="http://schemas.openxmlformats.org/officeDocument/2006/relationships/chart" Target="../charts/chart71.xml"/><Relationship Id="rId17" Type="http://schemas.openxmlformats.org/officeDocument/2006/relationships/chart" Target="../charts/chart76.xml"/><Relationship Id="rId2" Type="http://schemas.openxmlformats.org/officeDocument/2006/relationships/chart" Target="../charts/chart61.xml"/><Relationship Id="rId16" Type="http://schemas.openxmlformats.org/officeDocument/2006/relationships/chart" Target="../charts/chart75.xml"/><Relationship Id="rId1" Type="http://schemas.openxmlformats.org/officeDocument/2006/relationships/chart" Target="../charts/chart60.xml"/><Relationship Id="rId6" Type="http://schemas.openxmlformats.org/officeDocument/2006/relationships/chart" Target="../charts/chart65.xml"/><Relationship Id="rId11" Type="http://schemas.openxmlformats.org/officeDocument/2006/relationships/chart" Target="../charts/chart70.xml"/><Relationship Id="rId5" Type="http://schemas.openxmlformats.org/officeDocument/2006/relationships/chart" Target="../charts/chart64.xml"/><Relationship Id="rId15" Type="http://schemas.openxmlformats.org/officeDocument/2006/relationships/chart" Target="../charts/chart74.xml"/><Relationship Id="rId10" Type="http://schemas.openxmlformats.org/officeDocument/2006/relationships/chart" Target="../charts/chart69.xml"/><Relationship Id="rId19" Type="http://schemas.openxmlformats.org/officeDocument/2006/relationships/chart" Target="../charts/chart78.xml"/><Relationship Id="rId4" Type="http://schemas.openxmlformats.org/officeDocument/2006/relationships/chart" Target="../charts/chart63.xml"/><Relationship Id="rId9" Type="http://schemas.openxmlformats.org/officeDocument/2006/relationships/chart" Target="../charts/chart68.xml"/><Relationship Id="rId14" Type="http://schemas.openxmlformats.org/officeDocument/2006/relationships/chart" Target="../charts/chart73.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81.xml"/><Relationship Id="rId2" Type="http://schemas.openxmlformats.org/officeDocument/2006/relationships/chart" Target="../charts/chart80.xml"/><Relationship Id="rId1" Type="http://schemas.openxmlformats.org/officeDocument/2006/relationships/chart" Target="../charts/chart79.xml"/><Relationship Id="rId4" Type="http://schemas.openxmlformats.org/officeDocument/2006/relationships/chart" Target="../charts/chart82.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83.xml"/></Relationships>
</file>

<file path=xl/drawings/drawing1.xml><?xml version="1.0" encoding="utf-8"?>
<xdr:wsDr xmlns:xdr="http://schemas.openxmlformats.org/drawingml/2006/spreadsheetDrawing" xmlns:a="http://schemas.openxmlformats.org/drawingml/2006/main">
  <xdr:twoCellAnchor>
    <xdr:from>
      <xdr:col>30</xdr:col>
      <xdr:colOff>79488</xdr:colOff>
      <xdr:row>17</xdr:row>
      <xdr:rowOff>141501</xdr:rowOff>
    </xdr:from>
    <xdr:to>
      <xdr:col>30</xdr:col>
      <xdr:colOff>574523</xdr:colOff>
      <xdr:row>19</xdr:row>
      <xdr:rowOff>5332</xdr:rowOff>
    </xdr:to>
    <xdr:sp macro="" textlink="">
      <xdr:nvSpPr>
        <xdr:cNvPr id="2" name="Right Arrow 21">
          <a:extLst>
            <a:ext uri="{FF2B5EF4-FFF2-40B4-BE49-F238E27FC236}">
              <a16:creationId xmlns:a16="http://schemas.microsoft.com/office/drawing/2014/main" id="{00000000-0008-0000-0000-000002000000}"/>
            </a:ext>
          </a:extLst>
        </xdr:cNvPr>
        <xdr:cNvSpPr/>
      </xdr:nvSpPr>
      <xdr:spPr bwMode="auto">
        <a:xfrm rot="10800000">
          <a:off x="19837059" y="3937894"/>
          <a:ext cx="495035" cy="312867"/>
        </a:xfrm>
        <a:prstGeom prst="rightArrow">
          <a:avLst/>
        </a:prstGeom>
        <a:solidFill>
          <a:schemeClr val="bg1">
            <a:lumMod val="65000"/>
          </a:schemeClr>
        </a:solidFill>
        <a:ln>
          <a:headEnd type="none" w="med" len="med"/>
          <a:tailEnd type="none" w="med" len="med"/>
        </a:ln>
        <a:scene3d>
          <a:camera prst="orthographicFront"/>
          <a:lightRig rig="threePt" dir="t"/>
        </a:scene3d>
        <a:sp3d>
          <a:bevelT w="114300" prst="artDeco"/>
          <a:bevelB w="114300" prst="artDeco"/>
        </a:sp3d>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ctr"/>
          <a:endParaRPr lang="en-US" sz="1100"/>
        </a:p>
      </xdr:txBody>
    </xdr:sp>
    <xdr:clientData/>
  </xdr:twoCellAnchor>
  <xdr:twoCellAnchor>
    <xdr:from>
      <xdr:col>5</xdr:col>
      <xdr:colOff>75173</xdr:colOff>
      <xdr:row>17</xdr:row>
      <xdr:rowOff>170875</xdr:rowOff>
    </xdr:from>
    <xdr:to>
      <xdr:col>5</xdr:col>
      <xdr:colOff>581850</xdr:colOff>
      <xdr:row>19</xdr:row>
      <xdr:rowOff>81714</xdr:rowOff>
    </xdr:to>
    <xdr:sp macro="" textlink="">
      <xdr:nvSpPr>
        <xdr:cNvPr id="3" name="Right Arrow 50">
          <a:extLst>
            <a:ext uri="{FF2B5EF4-FFF2-40B4-BE49-F238E27FC236}">
              <a16:creationId xmlns:a16="http://schemas.microsoft.com/office/drawing/2014/main" id="{00000000-0008-0000-0000-000003000000}"/>
            </a:ext>
          </a:extLst>
        </xdr:cNvPr>
        <xdr:cNvSpPr/>
      </xdr:nvSpPr>
      <xdr:spPr bwMode="auto">
        <a:xfrm rot="10800000">
          <a:off x="2921467" y="3846404"/>
          <a:ext cx="506677" cy="359075"/>
        </a:xfrm>
        <a:prstGeom prst="rightArrow">
          <a:avLst/>
        </a:prstGeom>
        <a:solidFill>
          <a:schemeClr val="bg1">
            <a:lumMod val="65000"/>
          </a:schemeClr>
        </a:solidFill>
        <a:ln>
          <a:headEnd type="none" w="med" len="med"/>
          <a:tailEnd type="none" w="med" len="med"/>
        </a:ln>
        <a:scene3d>
          <a:camera prst="orthographicFront"/>
          <a:lightRig rig="threePt" dir="t"/>
        </a:scene3d>
        <a:sp3d>
          <a:bevelT w="114300" prst="artDeco"/>
          <a:bevelB w="114300" prst="artDeco"/>
        </a:sp3d>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ctr" upright="1"/>
        <a:lstStyle/>
        <a:p>
          <a:pPr algn="ctr"/>
          <a:endParaRPr lang="en-US" sz="1100">
            <a:solidFill>
              <a:sysClr val="windowText" lastClr="000000"/>
            </a:solidFill>
          </a:endParaRPr>
        </a:p>
      </xdr:txBody>
    </xdr:sp>
    <xdr:clientData/>
  </xdr:twoCellAnchor>
  <xdr:twoCellAnchor>
    <xdr:from>
      <xdr:col>30</xdr:col>
      <xdr:colOff>114756</xdr:colOff>
      <xdr:row>35</xdr:row>
      <xdr:rowOff>42366</xdr:rowOff>
    </xdr:from>
    <xdr:to>
      <xdr:col>31</xdr:col>
      <xdr:colOff>23838</xdr:colOff>
      <xdr:row>36</xdr:row>
      <xdr:rowOff>176857</xdr:rowOff>
    </xdr:to>
    <xdr:sp macro="" textlink="">
      <xdr:nvSpPr>
        <xdr:cNvPr id="4" name="Right Arrow 35">
          <a:extLst>
            <a:ext uri="{FF2B5EF4-FFF2-40B4-BE49-F238E27FC236}">
              <a16:creationId xmlns:a16="http://schemas.microsoft.com/office/drawing/2014/main" id="{00000000-0008-0000-0000-000004000000}"/>
            </a:ext>
          </a:extLst>
        </xdr:cNvPr>
        <xdr:cNvSpPr/>
      </xdr:nvSpPr>
      <xdr:spPr bwMode="auto">
        <a:xfrm rot="10800000">
          <a:off x="19915550" y="7864072"/>
          <a:ext cx="514200" cy="358609"/>
        </a:xfrm>
        <a:prstGeom prst="rightArrow">
          <a:avLst/>
        </a:prstGeom>
        <a:solidFill>
          <a:schemeClr val="bg1">
            <a:lumMod val="65000"/>
          </a:schemeClr>
        </a:solidFill>
        <a:ln>
          <a:headEnd type="none" w="med" len="med"/>
          <a:tailEnd type="none" w="med" len="med"/>
        </a:ln>
        <a:scene3d>
          <a:camera prst="orthographicFront"/>
          <a:lightRig rig="threePt" dir="t"/>
        </a:scene3d>
        <a:sp3d>
          <a:bevelT w="114300" prst="artDeco"/>
          <a:bevelB w="114300" prst="artDeco"/>
        </a:sp3d>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ctr"/>
          <a:endParaRPr lang="en-US" sz="1100"/>
        </a:p>
      </xdr:txBody>
    </xdr:sp>
    <xdr:clientData/>
  </xdr:twoCellAnchor>
  <xdr:twoCellAnchor>
    <xdr:from>
      <xdr:col>9</xdr:col>
      <xdr:colOff>113517</xdr:colOff>
      <xdr:row>16</xdr:row>
      <xdr:rowOff>219271</xdr:rowOff>
    </xdr:from>
    <xdr:to>
      <xdr:col>10</xdr:col>
      <xdr:colOff>18516</xdr:colOff>
      <xdr:row>18</xdr:row>
      <xdr:rowOff>47231</xdr:rowOff>
    </xdr:to>
    <xdr:sp macro="" textlink="">
      <xdr:nvSpPr>
        <xdr:cNvPr id="5" name="Right Arrow 42">
          <a:extLst>
            <a:ext uri="{FF2B5EF4-FFF2-40B4-BE49-F238E27FC236}">
              <a16:creationId xmlns:a16="http://schemas.microsoft.com/office/drawing/2014/main" id="{00000000-0008-0000-0000-000005000000}"/>
            </a:ext>
          </a:extLst>
        </xdr:cNvPr>
        <xdr:cNvSpPr/>
      </xdr:nvSpPr>
      <xdr:spPr bwMode="auto">
        <a:xfrm rot="10800000">
          <a:off x="5088929" y="3670683"/>
          <a:ext cx="510116" cy="287401"/>
        </a:xfrm>
        <a:prstGeom prst="rightArrow">
          <a:avLst/>
        </a:prstGeom>
        <a:solidFill>
          <a:schemeClr val="bg1">
            <a:lumMod val="65000"/>
          </a:schemeClr>
        </a:solidFill>
        <a:ln>
          <a:headEnd type="none" w="med" len="med"/>
          <a:tailEnd type="none" w="med" len="med"/>
        </a:ln>
        <a:scene3d>
          <a:camera prst="orthographicFront"/>
          <a:lightRig rig="threePt" dir="t"/>
        </a:scene3d>
        <a:sp3d>
          <a:bevelT w="114300" prst="artDeco"/>
          <a:bevelB w="114300" prst="artDeco"/>
        </a:sp3d>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ctr"/>
          <a:endParaRPr lang="en-US" sz="1100"/>
        </a:p>
      </xdr:txBody>
    </xdr:sp>
    <xdr:clientData/>
  </xdr:twoCellAnchor>
  <xdr:twoCellAnchor>
    <xdr:from>
      <xdr:col>9</xdr:col>
      <xdr:colOff>48324</xdr:colOff>
      <xdr:row>35</xdr:row>
      <xdr:rowOff>176217</xdr:rowOff>
    </xdr:from>
    <xdr:to>
      <xdr:col>9</xdr:col>
      <xdr:colOff>548915</xdr:colOff>
      <xdr:row>37</xdr:row>
      <xdr:rowOff>63402</xdr:rowOff>
    </xdr:to>
    <xdr:sp macro="" textlink="">
      <xdr:nvSpPr>
        <xdr:cNvPr id="6" name="Right Arrow 43">
          <a:extLst>
            <a:ext uri="{FF2B5EF4-FFF2-40B4-BE49-F238E27FC236}">
              <a16:creationId xmlns:a16="http://schemas.microsoft.com/office/drawing/2014/main" id="{00000000-0008-0000-0000-000006000000}"/>
            </a:ext>
          </a:extLst>
        </xdr:cNvPr>
        <xdr:cNvSpPr/>
      </xdr:nvSpPr>
      <xdr:spPr bwMode="auto">
        <a:xfrm rot="10800000">
          <a:off x="5001324" y="8038672"/>
          <a:ext cx="500591" cy="337457"/>
        </a:xfrm>
        <a:prstGeom prst="rightArrow">
          <a:avLst/>
        </a:prstGeom>
        <a:solidFill>
          <a:schemeClr val="bg1">
            <a:lumMod val="65000"/>
          </a:schemeClr>
        </a:solidFill>
        <a:ln>
          <a:headEnd type="none" w="med" len="med"/>
          <a:tailEnd type="none" w="med" len="med"/>
        </a:ln>
        <a:scene3d>
          <a:camera prst="orthographicFront"/>
          <a:lightRig rig="threePt" dir="t"/>
        </a:scene3d>
        <a:sp3d>
          <a:bevelT w="114300" prst="artDeco"/>
          <a:bevelB w="114300" prst="artDeco"/>
        </a:sp3d>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ctr"/>
          <a:endParaRPr lang="en-US" sz="1100"/>
        </a:p>
      </xdr:txBody>
    </xdr:sp>
    <xdr:clientData/>
  </xdr:twoCellAnchor>
  <xdr:twoCellAnchor>
    <xdr:from>
      <xdr:col>26</xdr:col>
      <xdr:colOff>128700</xdr:colOff>
      <xdr:row>17</xdr:row>
      <xdr:rowOff>17506</xdr:rowOff>
    </xdr:from>
    <xdr:to>
      <xdr:col>26</xdr:col>
      <xdr:colOff>638816</xdr:colOff>
      <xdr:row>18</xdr:row>
      <xdr:rowOff>71382</xdr:rowOff>
    </xdr:to>
    <xdr:sp macro="" textlink="">
      <xdr:nvSpPr>
        <xdr:cNvPr id="7" name="Right Arrow 52">
          <a:extLst>
            <a:ext uri="{FF2B5EF4-FFF2-40B4-BE49-F238E27FC236}">
              <a16:creationId xmlns:a16="http://schemas.microsoft.com/office/drawing/2014/main" id="{00000000-0008-0000-0000-000007000000}"/>
            </a:ext>
          </a:extLst>
        </xdr:cNvPr>
        <xdr:cNvSpPr/>
      </xdr:nvSpPr>
      <xdr:spPr bwMode="auto">
        <a:xfrm rot="10800000">
          <a:off x="17800376" y="3693035"/>
          <a:ext cx="510116" cy="289200"/>
        </a:xfrm>
        <a:prstGeom prst="rightArrow">
          <a:avLst/>
        </a:prstGeom>
        <a:solidFill>
          <a:schemeClr val="bg1">
            <a:lumMod val="65000"/>
          </a:schemeClr>
        </a:solidFill>
        <a:ln>
          <a:headEnd type="none" w="med" len="med"/>
          <a:tailEnd type="none" w="med" len="med"/>
        </a:ln>
        <a:scene3d>
          <a:camera prst="orthographicFront"/>
          <a:lightRig rig="threePt" dir="t"/>
        </a:scene3d>
        <a:sp3d>
          <a:bevelT w="114300" prst="artDeco"/>
          <a:bevelB w="114300" prst="artDeco"/>
        </a:sp3d>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ctr"/>
          <a:endParaRPr lang="en-US" sz="1100"/>
        </a:p>
      </xdr:txBody>
    </xdr:sp>
    <xdr:clientData/>
  </xdr:twoCellAnchor>
  <xdr:oneCellAnchor>
    <xdr:from>
      <xdr:col>10</xdr:col>
      <xdr:colOff>181527</xdr:colOff>
      <xdr:row>1</xdr:row>
      <xdr:rowOff>93423</xdr:rowOff>
    </xdr:from>
    <xdr:ext cx="9826664" cy="937629"/>
    <xdr:sp macro="" textlink="">
      <xdr:nvSpPr>
        <xdr:cNvPr id="8" name="Rectangle 7">
          <a:extLst>
            <a:ext uri="{FF2B5EF4-FFF2-40B4-BE49-F238E27FC236}">
              <a16:creationId xmlns:a16="http://schemas.microsoft.com/office/drawing/2014/main" id="{00000000-0008-0000-0000-000008000000}"/>
            </a:ext>
          </a:extLst>
        </xdr:cNvPr>
        <xdr:cNvSpPr/>
      </xdr:nvSpPr>
      <xdr:spPr>
        <a:xfrm>
          <a:off x="5740663" y="249287"/>
          <a:ext cx="9826664" cy="937629"/>
        </a:xfrm>
        <a:prstGeom prst="rect">
          <a:avLst/>
        </a:prstGeom>
        <a:noFill/>
      </xdr:spPr>
      <xdr:txBody>
        <a:bodyPr wrap="none" lIns="91440" tIns="45720" rIns="91440" bIns="45720">
          <a:spAutoFit/>
          <a:scene3d>
            <a:camera prst="orthographicFront"/>
            <a:lightRig rig="flat" dir="tl">
              <a:rot lat="0" lon="0" rev="6600000"/>
            </a:lightRig>
          </a:scene3d>
          <a:sp3d extrusionH="25400" contourW="8890">
            <a:bevelT w="38100" h="31750"/>
            <a:contourClr>
              <a:schemeClr val="accent2">
                <a:shade val="75000"/>
              </a:schemeClr>
            </a:contourClr>
          </a:sp3d>
        </a:bodyPr>
        <a:lstStyle/>
        <a:p>
          <a:pPr algn="ctr"/>
          <a:r>
            <a:rPr lang="en-US" sz="5400" b="1" cap="none" spc="0" baseline="0">
              <a:ln w="11430"/>
              <a:gradFill>
                <a:gsLst>
                  <a:gs pos="0">
                    <a:schemeClr val="accent2">
                      <a:tint val="70000"/>
                      <a:satMod val="245000"/>
                    </a:schemeClr>
                  </a:gs>
                  <a:gs pos="75000">
                    <a:schemeClr val="accent2">
                      <a:tint val="90000"/>
                      <a:shade val="60000"/>
                      <a:satMod val="240000"/>
                    </a:schemeClr>
                  </a:gs>
                  <a:gs pos="100000">
                    <a:schemeClr val="accent2">
                      <a:tint val="100000"/>
                      <a:shade val="50000"/>
                      <a:satMod val="240000"/>
                    </a:schemeClr>
                  </a:gs>
                </a:gsLst>
                <a:lin ang="5400000"/>
              </a:gradFill>
              <a:effectLst>
                <a:outerShdw blurRad="50800" dist="39000" dir="5460000" algn="tl">
                  <a:srgbClr val="000000">
                    <a:alpha val="38000"/>
                  </a:srgbClr>
                </a:outerShdw>
              </a:effectLst>
            </a:rPr>
            <a:t> 2026 LCY Elastomers</a:t>
          </a:r>
          <a:r>
            <a:rPr lang="en-US" sz="5400" b="1" cap="none" spc="0">
              <a:ln w="11430"/>
              <a:gradFill>
                <a:gsLst>
                  <a:gs pos="0">
                    <a:schemeClr val="accent2">
                      <a:tint val="70000"/>
                      <a:satMod val="245000"/>
                    </a:schemeClr>
                  </a:gs>
                  <a:gs pos="75000">
                    <a:schemeClr val="accent2">
                      <a:tint val="90000"/>
                      <a:shade val="60000"/>
                      <a:satMod val="240000"/>
                    </a:schemeClr>
                  </a:gs>
                  <a:gs pos="100000">
                    <a:schemeClr val="accent2">
                      <a:tint val="100000"/>
                      <a:shade val="50000"/>
                      <a:satMod val="240000"/>
                    </a:schemeClr>
                  </a:gs>
                </a:gsLst>
                <a:lin ang="5400000"/>
              </a:gradFill>
              <a:effectLst>
                <a:outerShdw blurRad="50800" dist="39000" dir="5460000" algn="tl">
                  <a:srgbClr val="000000">
                    <a:alpha val="38000"/>
                  </a:srgbClr>
                </a:outerShdw>
              </a:effectLst>
            </a:rPr>
            <a:t> </a:t>
          </a:r>
          <a:r>
            <a:rPr lang="en-US" sz="5400" b="1" cap="none" spc="0" baseline="0">
              <a:ln w="11430"/>
              <a:gradFill>
                <a:gsLst>
                  <a:gs pos="0">
                    <a:schemeClr val="accent2">
                      <a:tint val="70000"/>
                      <a:satMod val="245000"/>
                    </a:schemeClr>
                  </a:gs>
                  <a:gs pos="75000">
                    <a:schemeClr val="accent2">
                      <a:tint val="90000"/>
                      <a:shade val="60000"/>
                      <a:satMod val="240000"/>
                    </a:schemeClr>
                  </a:gs>
                  <a:gs pos="100000">
                    <a:schemeClr val="accent2">
                      <a:tint val="100000"/>
                      <a:shade val="50000"/>
                      <a:satMod val="240000"/>
                    </a:schemeClr>
                  </a:gs>
                </a:gsLst>
                <a:lin ang="5400000"/>
              </a:gradFill>
              <a:effectLst>
                <a:outerShdw blurRad="50800" dist="39000" dir="5460000" algn="tl">
                  <a:srgbClr val="000000">
                    <a:alpha val="38000"/>
                  </a:srgbClr>
                </a:outerShdw>
              </a:effectLst>
            </a:rPr>
            <a:t>Safety K.P.I </a:t>
          </a:r>
          <a:endParaRPr lang="en-US" sz="5400" b="1" cap="none" spc="0">
            <a:ln w="11430"/>
            <a:gradFill>
              <a:gsLst>
                <a:gs pos="0">
                  <a:schemeClr val="accent2">
                    <a:tint val="70000"/>
                    <a:satMod val="245000"/>
                  </a:schemeClr>
                </a:gs>
                <a:gs pos="75000">
                  <a:schemeClr val="accent2">
                    <a:tint val="90000"/>
                    <a:shade val="60000"/>
                    <a:satMod val="240000"/>
                  </a:schemeClr>
                </a:gs>
                <a:gs pos="100000">
                  <a:schemeClr val="accent2">
                    <a:tint val="100000"/>
                    <a:shade val="50000"/>
                    <a:satMod val="240000"/>
                  </a:schemeClr>
                </a:gs>
              </a:gsLst>
              <a:lin ang="5400000"/>
            </a:gradFill>
            <a:effectLst>
              <a:outerShdw blurRad="50800" dist="39000" dir="5460000" algn="tl">
                <a:srgbClr val="000000">
                  <a:alpha val="38000"/>
                </a:srgbClr>
              </a:outerShdw>
            </a:effectLst>
          </a:endParaRPr>
        </a:p>
      </xdr:txBody>
    </xdr:sp>
    <xdr:clientData/>
  </xdr:oneCellAnchor>
  <xdr:twoCellAnchor>
    <xdr:from>
      <xdr:col>5</xdr:col>
      <xdr:colOff>93253</xdr:colOff>
      <xdr:row>35</xdr:row>
      <xdr:rowOff>156184</xdr:rowOff>
    </xdr:from>
    <xdr:to>
      <xdr:col>5</xdr:col>
      <xdr:colOff>586420</xdr:colOff>
      <xdr:row>36</xdr:row>
      <xdr:rowOff>218837</xdr:rowOff>
    </xdr:to>
    <xdr:sp macro="" textlink="">
      <xdr:nvSpPr>
        <xdr:cNvPr id="9" name="Right Arrow 28">
          <a:extLst>
            <a:ext uri="{FF2B5EF4-FFF2-40B4-BE49-F238E27FC236}">
              <a16:creationId xmlns:a16="http://schemas.microsoft.com/office/drawing/2014/main" id="{00000000-0008-0000-0000-000009000000}"/>
            </a:ext>
          </a:extLst>
        </xdr:cNvPr>
        <xdr:cNvSpPr/>
      </xdr:nvSpPr>
      <xdr:spPr bwMode="auto">
        <a:xfrm rot="10800000">
          <a:off x="2933435" y="8018639"/>
          <a:ext cx="493167" cy="287789"/>
        </a:xfrm>
        <a:prstGeom prst="rightArrow">
          <a:avLst/>
        </a:prstGeom>
        <a:solidFill>
          <a:schemeClr val="bg1">
            <a:lumMod val="65000"/>
          </a:schemeClr>
        </a:solidFill>
        <a:ln>
          <a:headEnd type="none" w="med" len="med"/>
          <a:tailEnd type="none" w="med" len="med"/>
        </a:ln>
        <a:scene3d>
          <a:camera prst="orthographicFront"/>
          <a:lightRig rig="threePt" dir="t"/>
        </a:scene3d>
        <a:sp3d>
          <a:bevelT w="114300" prst="artDeco"/>
          <a:bevelB w="114300" prst="artDeco"/>
        </a:sp3d>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ctr" upright="1"/>
        <a:lstStyle/>
        <a:p>
          <a:pPr algn="ctr"/>
          <a:endParaRPr lang="en-US" sz="1100"/>
        </a:p>
      </xdr:txBody>
    </xdr:sp>
    <xdr:clientData/>
  </xdr:twoCellAnchor>
  <xdr:twoCellAnchor>
    <xdr:from>
      <xdr:col>15</xdr:col>
      <xdr:colOff>545859</xdr:colOff>
      <xdr:row>39</xdr:row>
      <xdr:rowOff>287254</xdr:rowOff>
    </xdr:from>
    <xdr:to>
      <xdr:col>16</xdr:col>
      <xdr:colOff>287950</xdr:colOff>
      <xdr:row>43</xdr:row>
      <xdr:rowOff>24205</xdr:rowOff>
    </xdr:to>
    <xdr:sp macro="" textlink="">
      <xdr:nvSpPr>
        <xdr:cNvPr id="10" name="Right Arrow 31">
          <a:extLst>
            <a:ext uri="{FF2B5EF4-FFF2-40B4-BE49-F238E27FC236}">
              <a16:creationId xmlns:a16="http://schemas.microsoft.com/office/drawing/2014/main" id="{00000000-0008-0000-0000-00000A000000}"/>
            </a:ext>
          </a:extLst>
        </xdr:cNvPr>
        <xdr:cNvSpPr/>
      </xdr:nvSpPr>
      <xdr:spPr bwMode="auto">
        <a:xfrm rot="16200000">
          <a:off x="9877326" y="8974846"/>
          <a:ext cx="465333" cy="593738"/>
        </a:xfrm>
        <a:prstGeom prst="rightArrow">
          <a:avLst/>
        </a:prstGeom>
        <a:solidFill>
          <a:schemeClr val="bg1">
            <a:lumMod val="65000"/>
          </a:schemeClr>
        </a:solidFill>
        <a:ln>
          <a:headEnd type="none" w="med" len="med"/>
          <a:tailEnd type="none" w="med" len="med"/>
        </a:ln>
        <a:scene3d>
          <a:camera prst="orthographicFront"/>
          <a:lightRig rig="threePt" dir="t"/>
        </a:scene3d>
        <a:sp3d>
          <a:bevelT w="114300" prst="artDeco"/>
          <a:bevelB w="114300" prst="artDeco"/>
        </a:sp3d>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ctr" upright="1"/>
        <a:lstStyle/>
        <a:p>
          <a:pPr algn="ctr"/>
          <a:endParaRPr lang="en-US" sz="1100"/>
        </a:p>
      </xdr:txBody>
    </xdr:sp>
    <xdr:clientData/>
  </xdr:twoCellAnchor>
  <xdr:twoCellAnchor>
    <xdr:from>
      <xdr:col>26</xdr:col>
      <xdr:colOff>77600</xdr:colOff>
      <xdr:row>34</xdr:row>
      <xdr:rowOff>177290</xdr:rowOff>
    </xdr:from>
    <xdr:to>
      <xdr:col>26</xdr:col>
      <xdr:colOff>578191</xdr:colOff>
      <xdr:row>36</xdr:row>
      <xdr:rowOff>90507</xdr:rowOff>
    </xdr:to>
    <xdr:sp macro="" textlink="">
      <xdr:nvSpPr>
        <xdr:cNvPr id="11" name="Right Arrow 33">
          <a:extLst>
            <a:ext uri="{FF2B5EF4-FFF2-40B4-BE49-F238E27FC236}">
              <a16:creationId xmlns:a16="http://schemas.microsoft.com/office/drawing/2014/main" id="{00000000-0008-0000-0000-00000B000000}"/>
            </a:ext>
          </a:extLst>
        </xdr:cNvPr>
        <xdr:cNvSpPr/>
      </xdr:nvSpPr>
      <xdr:spPr bwMode="auto">
        <a:xfrm rot="10800000">
          <a:off x="17749276" y="7774878"/>
          <a:ext cx="500591" cy="361453"/>
        </a:xfrm>
        <a:prstGeom prst="rightArrow">
          <a:avLst/>
        </a:prstGeom>
        <a:solidFill>
          <a:schemeClr val="bg1">
            <a:lumMod val="65000"/>
          </a:schemeClr>
        </a:solidFill>
        <a:ln>
          <a:headEnd type="none" w="med" len="med"/>
          <a:tailEnd type="none" w="med" len="med"/>
        </a:ln>
        <a:scene3d>
          <a:camera prst="orthographicFront"/>
          <a:lightRig rig="threePt" dir="t"/>
        </a:scene3d>
        <a:sp3d>
          <a:bevelT w="114300" prst="artDeco"/>
          <a:bevelB w="114300" prst="artDeco"/>
        </a:sp3d>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20</xdr:col>
      <xdr:colOff>0</xdr:colOff>
      <xdr:row>18</xdr:row>
      <xdr:rowOff>190500</xdr:rowOff>
    </xdr:from>
    <xdr:to>
      <xdr:col>39</xdr:col>
      <xdr:colOff>203190</xdr:colOff>
      <xdr:row>39</xdr:row>
      <xdr:rowOff>90488</xdr:rowOff>
    </xdr:to>
    <xdr:graphicFrame macro="">
      <xdr:nvGraphicFramePr>
        <xdr:cNvPr id="12" name="Chart 11">
          <a:extLst>
            <a:ext uri="{FF2B5EF4-FFF2-40B4-BE49-F238E27FC236}">
              <a16:creationId xmlns:a16="http://schemas.microsoft.com/office/drawing/2014/main" id="{02F4EA5A-23E6-41F0-B01E-7A402AFDC1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549087</xdr:colOff>
      <xdr:row>44</xdr:row>
      <xdr:rowOff>192697</xdr:rowOff>
    </xdr:from>
    <xdr:to>
      <xdr:col>14</xdr:col>
      <xdr:colOff>219074</xdr:colOff>
      <xdr:row>58</xdr:row>
      <xdr:rowOff>238125</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379280</xdr:colOff>
      <xdr:row>62</xdr:row>
      <xdr:rowOff>160084</xdr:rowOff>
    </xdr:from>
    <xdr:to>
      <xdr:col>30</xdr:col>
      <xdr:colOff>501064</xdr:colOff>
      <xdr:row>74</xdr:row>
      <xdr:rowOff>167486</xdr:rowOff>
    </xdr:to>
    <xdr:graphicFrame macro="">
      <xdr:nvGraphicFramePr>
        <xdr:cNvPr id="4" name="Chart 3">
          <a:extLst>
            <a:ext uri="{FF2B5EF4-FFF2-40B4-BE49-F238E27FC236}">
              <a16:creationId xmlns:a16="http://schemas.microsoft.com/office/drawing/2014/main" id="{00000000-0008-0000-0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32</xdr:col>
      <xdr:colOff>243920</xdr:colOff>
      <xdr:row>21</xdr:row>
      <xdr:rowOff>69672</xdr:rowOff>
    </xdr:from>
    <xdr:to>
      <xdr:col>45</xdr:col>
      <xdr:colOff>552890</xdr:colOff>
      <xdr:row>39</xdr:row>
      <xdr:rowOff>4838</xdr:rowOff>
    </xdr:to>
    <xdr:graphicFrame macro="">
      <xdr:nvGraphicFramePr>
        <xdr:cNvPr id="5" name="Chart 4">
          <a:extLst>
            <a:ext uri="{FF2B5EF4-FFF2-40B4-BE49-F238E27FC236}">
              <a16:creationId xmlns:a16="http://schemas.microsoft.com/office/drawing/2014/main" id="{00000000-0008-0000-0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61</xdr:row>
      <xdr:rowOff>145598</xdr:rowOff>
    </xdr:from>
    <xdr:to>
      <xdr:col>16</xdr:col>
      <xdr:colOff>54428</xdr:colOff>
      <xdr:row>71</xdr:row>
      <xdr:rowOff>27216</xdr:rowOff>
    </xdr:to>
    <xdr:graphicFrame macro="">
      <xdr:nvGraphicFramePr>
        <xdr:cNvPr id="6" name="Chart 5">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32</xdr:col>
      <xdr:colOff>374996</xdr:colOff>
      <xdr:row>42</xdr:row>
      <xdr:rowOff>132371</xdr:rowOff>
    </xdr:from>
    <xdr:to>
      <xdr:col>46</xdr:col>
      <xdr:colOff>106253</xdr:colOff>
      <xdr:row>53</xdr:row>
      <xdr:rowOff>118862</xdr:rowOff>
    </xdr:to>
    <xdr:graphicFrame macro="">
      <xdr:nvGraphicFramePr>
        <xdr:cNvPr id="15" name="Chart 14">
          <a:extLst>
            <a:ext uri="{FF2B5EF4-FFF2-40B4-BE49-F238E27FC236}">
              <a16:creationId xmlns:a16="http://schemas.microsoft.com/office/drawing/2014/main" id="{00000000-0008-0000-02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503464</xdr:colOff>
      <xdr:row>74</xdr:row>
      <xdr:rowOff>321769</xdr:rowOff>
    </xdr:from>
    <xdr:to>
      <xdr:col>31</xdr:col>
      <xdr:colOff>421820</xdr:colOff>
      <xdr:row>89</xdr:row>
      <xdr:rowOff>49625</xdr:rowOff>
    </xdr:to>
    <xdr:graphicFrame macro="">
      <xdr:nvGraphicFramePr>
        <xdr:cNvPr id="8" name="Chart 7">
          <a:extLst>
            <a:ext uri="{FF2B5EF4-FFF2-40B4-BE49-F238E27FC236}">
              <a16:creationId xmlns:a16="http://schemas.microsoft.com/office/drawing/2014/main" id="{B3AC4E39-4710-4A26-8066-DD5A7908FB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176893</xdr:colOff>
      <xdr:row>92</xdr:row>
      <xdr:rowOff>176893</xdr:rowOff>
    </xdr:from>
    <xdr:to>
      <xdr:col>15</xdr:col>
      <xdr:colOff>407975</xdr:colOff>
      <xdr:row>118</xdr:row>
      <xdr:rowOff>46905</xdr:rowOff>
    </xdr:to>
    <xdr:graphicFrame macro="">
      <xdr:nvGraphicFramePr>
        <xdr:cNvPr id="18" name="Chart 17">
          <a:extLst>
            <a:ext uri="{FF2B5EF4-FFF2-40B4-BE49-F238E27FC236}">
              <a16:creationId xmlns:a16="http://schemas.microsoft.com/office/drawing/2014/main" id="{35CEBEA7-9885-4283-904C-CAB460A400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149679</xdr:colOff>
      <xdr:row>93</xdr:row>
      <xdr:rowOff>136071</xdr:rowOff>
    </xdr:from>
    <xdr:to>
      <xdr:col>30</xdr:col>
      <xdr:colOff>449035</xdr:colOff>
      <xdr:row>117</xdr:row>
      <xdr:rowOff>149678</xdr:rowOff>
    </xdr:to>
    <xdr:graphicFrame macro="">
      <xdr:nvGraphicFramePr>
        <xdr:cNvPr id="19" name="Chart 18">
          <a:extLst>
            <a:ext uri="{FF2B5EF4-FFF2-40B4-BE49-F238E27FC236}">
              <a16:creationId xmlns:a16="http://schemas.microsoft.com/office/drawing/2014/main" id="{C0463C2E-D974-4F95-9E42-188F203E02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31</xdr:col>
      <xdr:colOff>340179</xdr:colOff>
      <xdr:row>93</xdr:row>
      <xdr:rowOff>136071</xdr:rowOff>
    </xdr:from>
    <xdr:to>
      <xdr:col>47</xdr:col>
      <xdr:colOff>512008</xdr:colOff>
      <xdr:row>117</xdr:row>
      <xdr:rowOff>122464</xdr:rowOff>
    </xdr:to>
    <xdr:graphicFrame macro="">
      <xdr:nvGraphicFramePr>
        <xdr:cNvPr id="20" name="Chart 19">
          <a:extLst>
            <a:ext uri="{FF2B5EF4-FFF2-40B4-BE49-F238E27FC236}">
              <a16:creationId xmlns:a16="http://schemas.microsoft.com/office/drawing/2014/main" id="{8CC20EDF-7EC0-452F-8D1A-74C95340DD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32</xdr:col>
      <xdr:colOff>437029</xdr:colOff>
      <xdr:row>58</xdr:row>
      <xdr:rowOff>92849</xdr:rowOff>
    </xdr:from>
    <xdr:to>
      <xdr:col>46</xdr:col>
      <xdr:colOff>189698</xdr:colOff>
      <xdr:row>72</xdr:row>
      <xdr:rowOff>82604</xdr:rowOff>
    </xdr:to>
    <xdr:graphicFrame macro="">
      <xdr:nvGraphicFramePr>
        <xdr:cNvPr id="25" name="Chart 24">
          <a:extLst>
            <a:ext uri="{FF2B5EF4-FFF2-40B4-BE49-F238E27FC236}">
              <a16:creationId xmlns:a16="http://schemas.microsoft.com/office/drawing/2014/main" id="{CD013FA9-F2B0-483C-B94D-8C76D7D9AF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34637</xdr:colOff>
      <xdr:row>74</xdr:row>
      <xdr:rowOff>175220</xdr:rowOff>
    </xdr:from>
    <xdr:to>
      <xdr:col>13</xdr:col>
      <xdr:colOff>588818</xdr:colOff>
      <xdr:row>88</xdr:row>
      <xdr:rowOff>130396</xdr:rowOff>
    </xdr:to>
    <xdr:graphicFrame macro="">
      <xdr:nvGraphicFramePr>
        <xdr:cNvPr id="3" name="Chart 2">
          <a:extLst>
            <a:ext uri="{FF2B5EF4-FFF2-40B4-BE49-F238E27FC236}">
              <a16:creationId xmlns:a16="http://schemas.microsoft.com/office/drawing/2014/main" id="{6634B9D2-003B-4144-8934-D0D2760D07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33</xdr:col>
      <xdr:colOff>190500</xdr:colOff>
      <xdr:row>75</xdr:row>
      <xdr:rowOff>81643</xdr:rowOff>
    </xdr:from>
    <xdr:to>
      <xdr:col>46</xdr:col>
      <xdr:colOff>217714</xdr:colOff>
      <xdr:row>88</xdr:row>
      <xdr:rowOff>156792</xdr:rowOff>
    </xdr:to>
    <xdr:graphicFrame macro="">
      <xdr:nvGraphicFramePr>
        <xdr:cNvPr id="9" name="Chart 8">
          <a:extLst>
            <a:ext uri="{FF2B5EF4-FFF2-40B4-BE49-F238E27FC236}">
              <a16:creationId xmlns:a16="http://schemas.microsoft.com/office/drawing/2014/main" id="{1BCA0527-CC19-4F15-8585-AB37C60CE7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26</xdr:col>
      <xdr:colOff>106738</xdr:colOff>
      <xdr:row>8</xdr:row>
      <xdr:rowOff>212152</xdr:rowOff>
    </xdr:from>
    <xdr:to>
      <xdr:col>27</xdr:col>
      <xdr:colOff>221038</xdr:colOff>
      <xdr:row>9</xdr:row>
      <xdr:rowOff>231795</xdr:rowOff>
    </xdr:to>
    <xdr:sp macro="" textlink="">
      <xdr:nvSpPr>
        <xdr:cNvPr id="7" name="Arrow: Left 6">
          <a:extLst>
            <a:ext uri="{FF2B5EF4-FFF2-40B4-BE49-F238E27FC236}">
              <a16:creationId xmlns:a16="http://schemas.microsoft.com/office/drawing/2014/main" id="{E69AC032-C9F2-2F6D-475A-D3BC6252D8C9}"/>
            </a:ext>
          </a:extLst>
        </xdr:cNvPr>
        <xdr:cNvSpPr/>
      </xdr:nvSpPr>
      <xdr:spPr>
        <a:xfrm>
          <a:off x="16332368" y="2340782"/>
          <a:ext cx="727213" cy="268122"/>
        </a:xfrm>
        <a:prstGeom prst="leftArrow">
          <a:avLst/>
        </a:prstGeom>
        <a:effectLst>
          <a:glow rad="63500">
            <a:schemeClr val="accent3">
              <a:satMod val="175000"/>
              <a:alpha val="40000"/>
            </a:schemeClr>
          </a:glo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33129</xdr:colOff>
      <xdr:row>16</xdr:row>
      <xdr:rowOff>31814</xdr:rowOff>
    </xdr:from>
    <xdr:to>
      <xdr:col>28</xdr:col>
      <xdr:colOff>289264</xdr:colOff>
      <xdr:row>39</xdr:row>
      <xdr:rowOff>0</xdr:rowOff>
    </xdr:to>
    <xdr:graphicFrame macro="">
      <xdr:nvGraphicFramePr>
        <xdr:cNvPr id="11" name="Chart 10">
          <a:extLst>
            <a:ext uri="{FF2B5EF4-FFF2-40B4-BE49-F238E27FC236}">
              <a16:creationId xmlns:a16="http://schemas.microsoft.com/office/drawing/2014/main" id="{C60697D7-984D-B0D1-29DE-7F4B98A430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30</xdr:col>
      <xdr:colOff>204106</xdr:colOff>
      <xdr:row>0</xdr:row>
      <xdr:rowOff>435429</xdr:rowOff>
    </xdr:from>
    <xdr:to>
      <xdr:col>47</xdr:col>
      <xdr:colOff>47143</xdr:colOff>
      <xdr:row>17</xdr:row>
      <xdr:rowOff>104096</xdr:rowOff>
    </xdr:to>
    <xdr:graphicFrame macro="">
      <xdr:nvGraphicFramePr>
        <xdr:cNvPr id="10" name="Chart 9">
          <a:extLst>
            <a:ext uri="{FF2B5EF4-FFF2-40B4-BE49-F238E27FC236}">
              <a16:creationId xmlns:a16="http://schemas.microsoft.com/office/drawing/2014/main" id="{DD8A907B-1932-4961-AB86-E95ADA6972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18</xdr:col>
      <xdr:colOff>66261</xdr:colOff>
      <xdr:row>39</xdr:row>
      <xdr:rowOff>149087</xdr:rowOff>
    </xdr:from>
    <xdr:to>
      <xdr:col>28</xdr:col>
      <xdr:colOff>281609</xdr:colOff>
      <xdr:row>57</xdr:row>
      <xdr:rowOff>173934</xdr:rowOff>
    </xdr:to>
    <xdr:graphicFrame macro="">
      <xdr:nvGraphicFramePr>
        <xdr:cNvPr id="13" name="Chart 12">
          <a:extLst>
            <a:ext uri="{FF2B5EF4-FFF2-40B4-BE49-F238E27FC236}">
              <a16:creationId xmlns:a16="http://schemas.microsoft.com/office/drawing/2014/main" id="{0D29D1E9-984D-4920-8646-7B5B9A04BB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9525</xdr:colOff>
      <xdr:row>38</xdr:row>
      <xdr:rowOff>61912</xdr:rowOff>
    </xdr:from>
    <xdr:to>
      <xdr:col>8</xdr:col>
      <xdr:colOff>314325</xdr:colOff>
      <xdr:row>55</xdr:row>
      <xdr:rowOff>52387</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333374</xdr:colOff>
      <xdr:row>39</xdr:row>
      <xdr:rowOff>42862</xdr:rowOff>
    </xdr:from>
    <xdr:to>
      <xdr:col>28</xdr:col>
      <xdr:colOff>108856</xdr:colOff>
      <xdr:row>56</xdr:row>
      <xdr:rowOff>33337</xdr:rowOff>
    </xdr:to>
    <xdr:graphicFrame macro="">
      <xdr:nvGraphicFramePr>
        <xdr:cNvPr id="3" name="Chart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190500</xdr:colOff>
      <xdr:row>38</xdr:row>
      <xdr:rowOff>157163</xdr:rowOff>
    </xdr:from>
    <xdr:to>
      <xdr:col>39</xdr:col>
      <xdr:colOff>387803</xdr:colOff>
      <xdr:row>55</xdr:row>
      <xdr:rowOff>147638</xdr:rowOff>
    </xdr:to>
    <xdr:graphicFrame macro="">
      <xdr:nvGraphicFramePr>
        <xdr:cNvPr id="4" name="Chart 3">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457200</xdr:colOff>
      <xdr:row>38</xdr:row>
      <xdr:rowOff>90487</xdr:rowOff>
    </xdr:from>
    <xdr:to>
      <xdr:col>16</xdr:col>
      <xdr:colOff>152400</xdr:colOff>
      <xdr:row>55</xdr:row>
      <xdr:rowOff>80962</xdr:rowOff>
    </xdr:to>
    <xdr:graphicFrame macro="">
      <xdr:nvGraphicFramePr>
        <xdr:cNvPr id="5" name="Chart 4">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56</xdr:row>
      <xdr:rowOff>80962</xdr:rowOff>
    </xdr:from>
    <xdr:to>
      <xdr:col>8</xdr:col>
      <xdr:colOff>304800</xdr:colOff>
      <xdr:row>73</xdr:row>
      <xdr:rowOff>71437</xdr:rowOff>
    </xdr:to>
    <xdr:graphicFrame macro="">
      <xdr:nvGraphicFramePr>
        <xdr:cNvPr id="6" name="Chart 5">
          <a:extLst>
            <a:ext uri="{FF2B5EF4-FFF2-40B4-BE49-F238E27FC236}">
              <a16:creationId xmlns:a16="http://schemas.microsoft.com/office/drawing/2014/main" id="{00000000-0008-0000-05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476250</xdr:colOff>
      <xdr:row>56</xdr:row>
      <xdr:rowOff>90487</xdr:rowOff>
    </xdr:from>
    <xdr:to>
      <xdr:col>16</xdr:col>
      <xdr:colOff>171450</xdr:colOff>
      <xdr:row>73</xdr:row>
      <xdr:rowOff>80962</xdr:rowOff>
    </xdr:to>
    <xdr:graphicFrame macro="">
      <xdr:nvGraphicFramePr>
        <xdr:cNvPr id="7" name="Chart 6">
          <a:extLst>
            <a:ext uri="{FF2B5EF4-FFF2-40B4-BE49-F238E27FC236}">
              <a16:creationId xmlns:a16="http://schemas.microsoft.com/office/drawing/2014/main" id="{00000000-0008-0000-05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600075</xdr:colOff>
      <xdr:row>74</xdr:row>
      <xdr:rowOff>71437</xdr:rowOff>
    </xdr:from>
    <xdr:to>
      <xdr:col>8</xdr:col>
      <xdr:colOff>295275</xdr:colOff>
      <xdr:row>91</xdr:row>
      <xdr:rowOff>61912</xdr:rowOff>
    </xdr:to>
    <xdr:graphicFrame macro="">
      <xdr:nvGraphicFramePr>
        <xdr:cNvPr id="8" name="Chart 7">
          <a:extLst>
            <a:ext uri="{FF2B5EF4-FFF2-40B4-BE49-F238E27FC236}">
              <a16:creationId xmlns:a16="http://schemas.microsoft.com/office/drawing/2014/main" id="{00000000-0008-0000-05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476250</xdr:colOff>
      <xdr:row>74</xdr:row>
      <xdr:rowOff>80962</xdr:rowOff>
    </xdr:from>
    <xdr:to>
      <xdr:col>16</xdr:col>
      <xdr:colOff>171450</xdr:colOff>
      <xdr:row>91</xdr:row>
      <xdr:rowOff>71437</xdr:rowOff>
    </xdr:to>
    <xdr:graphicFrame macro="">
      <xdr:nvGraphicFramePr>
        <xdr:cNvPr id="9" name="Chart 8">
          <a:extLst>
            <a:ext uri="{FF2B5EF4-FFF2-40B4-BE49-F238E27FC236}">
              <a16:creationId xmlns:a16="http://schemas.microsoft.com/office/drawing/2014/main" id="{00000000-0008-0000-05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571500</xdr:colOff>
      <xdr:row>92</xdr:row>
      <xdr:rowOff>71437</xdr:rowOff>
    </xdr:from>
    <xdr:to>
      <xdr:col>8</xdr:col>
      <xdr:colOff>266700</xdr:colOff>
      <xdr:row>109</xdr:row>
      <xdr:rowOff>61912</xdr:rowOff>
    </xdr:to>
    <xdr:graphicFrame macro="">
      <xdr:nvGraphicFramePr>
        <xdr:cNvPr id="10" name="Chart 9">
          <a:extLst>
            <a:ext uri="{FF2B5EF4-FFF2-40B4-BE49-F238E27FC236}">
              <a16:creationId xmlns:a16="http://schemas.microsoft.com/office/drawing/2014/main" id="{00000000-0008-0000-05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504825</xdr:colOff>
      <xdr:row>92</xdr:row>
      <xdr:rowOff>80962</xdr:rowOff>
    </xdr:from>
    <xdr:to>
      <xdr:col>16</xdr:col>
      <xdr:colOff>200025</xdr:colOff>
      <xdr:row>109</xdr:row>
      <xdr:rowOff>71437</xdr:rowOff>
    </xdr:to>
    <xdr:graphicFrame macro="">
      <xdr:nvGraphicFramePr>
        <xdr:cNvPr id="11" name="Chart 10">
          <a:extLst>
            <a:ext uri="{FF2B5EF4-FFF2-40B4-BE49-F238E27FC236}">
              <a16:creationId xmlns:a16="http://schemas.microsoft.com/office/drawing/2014/main" id="{00000000-0008-0000-05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332014</xdr:colOff>
      <xdr:row>92</xdr:row>
      <xdr:rowOff>97290</xdr:rowOff>
    </xdr:from>
    <xdr:to>
      <xdr:col>24</xdr:col>
      <xdr:colOff>27214</xdr:colOff>
      <xdr:row>109</xdr:row>
      <xdr:rowOff>87765</xdr:rowOff>
    </xdr:to>
    <xdr:graphicFrame macro="">
      <xdr:nvGraphicFramePr>
        <xdr:cNvPr id="12" name="Chart 11">
          <a:extLst>
            <a:ext uri="{FF2B5EF4-FFF2-40B4-BE49-F238E27FC236}">
              <a16:creationId xmlns:a16="http://schemas.microsoft.com/office/drawing/2014/main" id="{00000000-0008-0000-05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24</xdr:col>
      <xdr:colOff>161925</xdr:colOff>
      <xdr:row>92</xdr:row>
      <xdr:rowOff>106816</xdr:rowOff>
    </xdr:from>
    <xdr:to>
      <xdr:col>31</xdr:col>
      <xdr:colOff>469447</xdr:colOff>
      <xdr:row>109</xdr:row>
      <xdr:rowOff>97291</xdr:rowOff>
    </xdr:to>
    <xdr:graphicFrame macro="">
      <xdr:nvGraphicFramePr>
        <xdr:cNvPr id="13" name="Chart 12">
          <a:extLst>
            <a:ext uri="{FF2B5EF4-FFF2-40B4-BE49-F238E27FC236}">
              <a16:creationId xmlns:a16="http://schemas.microsoft.com/office/drawing/2014/main" id="{00000000-0008-0000-05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32</xdr:col>
      <xdr:colOff>92529</xdr:colOff>
      <xdr:row>92</xdr:row>
      <xdr:rowOff>79602</xdr:rowOff>
    </xdr:from>
    <xdr:to>
      <xdr:col>39</xdr:col>
      <xdr:colOff>397329</xdr:colOff>
      <xdr:row>109</xdr:row>
      <xdr:rowOff>70077</xdr:rowOff>
    </xdr:to>
    <xdr:graphicFrame macro="">
      <xdr:nvGraphicFramePr>
        <xdr:cNvPr id="14" name="Chart 13">
          <a:extLst>
            <a:ext uri="{FF2B5EF4-FFF2-40B4-BE49-F238E27FC236}">
              <a16:creationId xmlns:a16="http://schemas.microsoft.com/office/drawing/2014/main" id="{00000000-0008-0000-05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323848</xdr:colOff>
      <xdr:row>56</xdr:row>
      <xdr:rowOff>100011</xdr:rowOff>
    </xdr:from>
    <xdr:to>
      <xdr:col>39</xdr:col>
      <xdr:colOff>394606</xdr:colOff>
      <xdr:row>91</xdr:row>
      <xdr:rowOff>95250</xdr:rowOff>
    </xdr:to>
    <xdr:graphicFrame macro="">
      <xdr:nvGraphicFramePr>
        <xdr:cNvPr id="15" name="Chart 14">
          <a:extLst>
            <a:ext uri="{FF2B5EF4-FFF2-40B4-BE49-F238E27FC236}">
              <a16:creationId xmlns:a16="http://schemas.microsoft.com/office/drawing/2014/main" id="{00000000-0008-0000-05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1102827</xdr:colOff>
      <xdr:row>24</xdr:row>
      <xdr:rowOff>156333</xdr:rowOff>
    </xdr:from>
    <xdr:to>
      <xdr:col>8</xdr:col>
      <xdr:colOff>1490868</xdr:colOff>
      <xdr:row>43</xdr:row>
      <xdr:rowOff>58392</xdr:rowOff>
    </xdr:to>
    <xdr:graphicFrame macro="">
      <xdr:nvGraphicFramePr>
        <xdr:cNvPr id="4" name="Chart 3">
          <a:extLst>
            <a:ext uri="{FF2B5EF4-FFF2-40B4-BE49-F238E27FC236}">
              <a16:creationId xmlns:a16="http://schemas.microsoft.com/office/drawing/2014/main" id="{B272A52D-1302-4C75-F846-7F71ECBDFF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285750</xdr:colOff>
      <xdr:row>25</xdr:row>
      <xdr:rowOff>138112</xdr:rowOff>
    </xdr:from>
    <xdr:to>
      <xdr:col>22</xdr:col>
      <xdr:colOff>0</xdr:colOff>
      <xdr:row>42</xdr:row>
      <xdr:rowOff>42862</xdr:rowOff>
    </xdr:to>
    <xdr:graphicFrame macro="">
      <xdr:nvGraphicFramePr>
        <xdr:cNvPr id="5" name="Chart 4">
          <a:extLst>
            <a:ext uri="{FF2B5EF4-FFF2-40B4-BE49-F238E27FC236}">
              <a16:creationId xmlns:a16="http://schemas.microsoft.com/office/drawing/2014/main" id="{E91A96F4-F2F0-39BE-84C6-A5F53800DB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0</xdr:colOff>
      <xdr:row>44</xdr:row>
      <xdr:rowOff>36444</xdr:rowOff>
    </xdr:from>
    <xdr:to>
      <xdr:col>12</xdr:col>
      <xdr:colOff>1109869</xdr:colOff>
      <xdr:row>60</xdr:row>
      <xdr:rowOff>129209</xdr:rowOff>
    </xdr:to>
    <xdr:graphicFrame macro="">
      <xdr:nvGraphicFramePr>
        <xdr:cNvPr id="2" name="Chart 1">
          <a:extLst>
            <a:ext uri="{FF2B5EF4-FFF2-40B4-BE49-F238E27FC236}">
              <a16:creationId xmlns:a16="http://schemas.microsoft.com/office/drawing/2014/main" id="{6BCAFDBF-255F-20D1-00D5-47251975C0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24847</xdr:colOff>
      <xdr:row>64</xdr:row>
      <xdr:rowOff>28160</xdr:rowOff>
    </xdr:from>
    <xdr:to>
      <xdr:col>13</xdr:col>
      <xdr:colOff>16564</xdr:colOff>
      <xdr:row>80</xdr:row>
      <xdr:rowOff>149086</xdr:rowOff>
    </xdr:to>
    <xdr:graphicFrame macro="">
      <xdr:nvGraphicFramePr>
        <xdr:cNvPr id="3" name="Chart 2">
          <a:extLst>
            <a:ext uri="{FF2B5EF4-FFF2-40B4-BE49-F238E27FC236}">
              <a16:creationId xmlns:a16="http://schemas.microsoft.com/office/drawing/2014/main" id="{A67465CE-4515-F614-155B-093780E91D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180974</xdr:colOff>
      <xdr:row>38</xdr:row>
      <xdr:rowOff>171449</xdr:rowOff>
    </xdr:from>
    <xdr:to>
      <xdr:col>13</xdr:col>
      <xdr:colOff>533399</xdr:colOff>
      <xdr:row>52</xdr:row>
      <xdr:rowOff>390525</xdr:rowOff>
    </xdr:to>
    <xdr:graphicFrame macro="">
      <xdr:nvGraphicFramePr>
        <xdr:cNvPr id="4" name="Chart 3">
          <a:extLst>
            <a:ext uri="{FF2B5EF4-FFF2-40B4-BE49-F238E27FC236}">
              <a16:creationId xmlns:a16="http://schemas.microsoft.com/office/drawing/2014/main" id="{BE3E679B-4C6E-2F53-AE7A-DBEA9AC5A7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209550</xdr:colOff>
      <xdr:row>63</xdr:row>
      <xdr:rowOff>31750</xdr:rowOff>
    </xdr:from>
    <xdr:to>
      <xdr:col>13</xdr:col>
      <xdr:colOff>772583</xdr:colOff>
      <xdr:row>76</xdr:row>
      <xdr:rowOff>152400</xdr:rowOff>
    </xdr:to>
    <xdr:graphicFrame macro="">
      <xdr:nvGraphicFramePr>
        <xdr:cNvPr id="5" name="Chart 4">
          <a:extLst>
            <a:ext uri="{FF2B5EF4-FFF2-40B4-BE49-F238E27FC236}">
              <a16:creationId xmlns:a16="http://schemas.microsoft.com/office/drawing/2014/main" id="{C4968DC3-B33B-C4EB-E2F8-1B0D91DD1C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58</xdr:col>
      <xdr:colOff>249651</xdr:colOff>
      <xdr:row>9</xdr:row>
      <xdr:rowOff>121343</xdr:rowOff>
    </xdr:from>
    <xdr:to>
      <xdr:col>77</xdr:col>
      <xdr:colOff>412937</xdr:colOff>
      <xdr:row>30</xdr:row>
      <xdr:rowOff>6324</xdr:rowOff>
    </xdr:to>
    <xdr:graphicFrame macro="">
      <xdr:nvGraphicFramePr>
        <xdr:cNvPr id="10" name="Chart 9">
          <a:extLst>
            <a:ext uri="{FF2B5EF4-FFF2-40B4-BE49-F238E27FC236}">
              <a16:creationId xmlns:a16="http://schemas.microsoft.com/office/drawing/2014/main" id="{03DEECB1-A82A-729D-1B85-9ECAA0A00F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32</xdr:col>
      <xdr:colOff>588820</xdr:colOff>
      <xdr:row>73</xdr:row>
      <xdr:rowOff>8442</xdr:rowOff>
    </xdr:from>
    <xdr:to>
      <xdr:col>48</xdr:col>
      <xdr:colOff>571501</xdr:colOff>
      <xdr:row>89</xdr:row>
      <xdr:rowOff>20812</xdr:rowOff>
    </xdr:to>
    <xdr:graphicFrame macro="">
      <xdr:nvGraphicFramePr>
        <xdr:cNvPr id="11" name="Chart 10">
          <a:extLst>
            <a:ext uri="{FF2B5EF4-FFF2-40B4-BE49-F238E27FC236}">
              <a16:creationId xmlns:a16="http://schemas.microsoft.com/office/drawing/2014/main" id="{1C28012D-B88B-48D0-45A6-C8B187455A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32</xdr:col>
      <xdr:colOff>599857</xdr:colOff>
      <xdr:row>94</xdr:row>
      <xdr:rowOff>77997</xdr:rowOff>
    </xdr:from>
    <xdr:to>
      <xdr:col>47</xdr:col>
      <xdr:colOff>588724</xdr:colOff>
      <xdr:row>111</xdr:row>
      <xdr:rowOff>149877</xdr:rowOff>
    </xdr:to>
    <xdr:graphicFrame macro="">
      <xdr:nvGraphicFramePr>
        <xdr:cNvPr id="12" name="Chart 11">
          <a:extLst>
            <a:ext uri="{FF2B5EF4-FFF2-40B4-BE49-F238E27FC236}">
              <a16:creationId xmlns:a16="http://schemas.microsoft.com/office/drawing/2014/main" id="{EED69F5B-1511-6E02-1AEE-333B14B10F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173689</xdr:colOff>
      <xdr:row>96</xdr:row>
      <xdr:rowOff>12327</xdr:rowOff>
    </xdr:from>
    <xdr:to>
      <xdr:col>14</xdr:col>
      <xdr:colOff>95248</xdr:colOff>
      <xdr:row>112</xdr:row>
      <xdr:rowOff>21292</xdr:rowOff>
    </xdr:to>
    <xdr:graphicFrame macro="">
      <xdr:nvGraphicFramePr>
        <xdr:cNvPr id="2" name="Chart 1">
          <a:extLst>
            <a:ext uri="{FF2B5EF4-FFF2-40B4-BE49-F238E27FC236}">
              <a16:creationId xmlns:a16="http://schemas.microsoft.com/office/drawing/2014/main" id="{5D7C657A-A422-57B0-0510-7CDD2CB740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39</xdr:col>
      <xdr:colOff>263235</xdr:colOff>
      <xdr:row>126</xdr:row>
      <xdr:rowOff>64076</xdr:rowOff>
    </xdr:from>
    <xdr:to>
      <xdr:col>53</xdr:col>
      <xdr:colOff>424294</xdr:colOff>
      <xdr:row>155</xdr:row>
      <xdr:rowOff>54552</xdr:rowOff>
    </xdr:to>
    <xdr:graphicFrame macro="">
      <xdr:nvGraphicFramePr>
        <xdr:cNvPr id="3" name="Chart 2">
          <a:extLst>
            <a:ext uri="{FF2B5EF4-FFF2-40B4-BE49-F238E27FC236}">
              <a16:creationId xmlns:a16="http://schemas.microsoft.com/office/drawing/2014/main" id="{AADDA194-03D5-E083-5BFB-7E6C7CF81B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33</xdr:col>
      <xdr:colOff>1263893</xdr:colOff>
      <xdr:row>117</xdr:row>
      <xdr:rowOff>65942</xdr:rowOff>
    </xdr:from>
    <xdr:to>
      <xdr:col>46</xdr:col>
      <xdr:colOff>234461</xdr:colOff>
      <xdr:row>125</xdr:row>
      <xdr:rowOff>162657</xdr:rowOff>
    </xdr:to>
    <xdr:graphicFrame macro="">
      <xdr:nvGraphicFramePr>
        <xdr:cNvPr id="6" name="Chart 5">
          <a:extLst>
            <a:ext uri="{FF2B5EF4-FFF2-40B4-BE49-F238E27FC236}">
              <a16:creationId xmlns:a16="http://schemas.microsoft.com/office/drawing/2014/main" id="{234BE6C7-8746-8D67-4DA7-6ED816FAFD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51</xdr:col>
      <xdr:colOff>8283</xdr:colOff>
      <xdr:row>31</xdr:row>
      <xdr:rowOff>144117</xdr:rowOff>
    </xdr:from>
    <xdr:to>
      <xdr:col>57</xdr:col>
      <xdr:colOff>273326</xdr:colOff>
      <xdr:row>46</xdr:row>
      <xdr:rowOff>104361</xdr:rowOff>
    </xdr:to>
    <xdr:graphicFrame macro="">
      <xdr:nvGraphicFramePr>
        <xdr:cNvPr id="7" name="Chart 6">
          <a:extLst>
            <a:ext uri="{FF2B5EF4-FFF2-40B4-BE49-F238E27FC236}">
              <a16:creationId xmlns:a16="http://schemas.microsoft.com/office/drawing/2014/main" id="{0572E7BB-4BA2-9351-39C2-AB679D9F39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51</xdr:col>
      <xdr:colOff>24849</xdr:colOff>
      <xdr:row>46</xdr:row>
      <xdr:rowOff>135836</xdr:rowOff>
    </xdr:from>
    <xdr:to>
      <xdr:col>57</xdr:col>
      <xdr:colOff>289892</xdr:colOff>
      <xdr:row>61</xdr:row>
      <xdr:rowOff>104362</xdr:rowOff>
    </xdr:to>
    <xdr:graphicFrame macro="">
      <xdr:nvGraphicFramePr>
        <xdr:cNvPr id="9" name="Chart 8">
          <a:extLst>
            <a:ext uri="{FF2B5EF4-FFF2-40B4-BE49-F238E27FC236}">
              <a16:creationId xmlns:a16="http://schemas.microsoft.com/office/drawing/2014/main" id="{330E380A-FAE3-5BB2-39A6-3C177E1258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577103</xdr:colOff>
      <xdr:row>18</xdr:row>
      <xdr:rowOff>146797</xdr:rowOff>
    </xdr:from>
    <xdr:to>
      <xdr:col>28</xdr:col>
      <xdr:colOff>582706</xdr:colOff>
      <xdr:row>34</xdr:row>
      <xdr:rowOff>155761</xdr:rowOff>
    </xdr:to>
    <xdr:graphicFrame macro="">
      <xdr:nvGraphicFramePr>
        <xdr:cNvPr id="14" name="Chart 13">
          <a:extLst>
            <a:ext uri="{FF2B5EF4-FFF2-40B4-BE49-F238E27FC236}">
              <a16:creationId xmlns:a16="http://schemas.microsoft.com/office/drawing/2014/main" id="{29DE4FFE-B795-6064-0206-FDC8AC2927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5602</xdr:colOff>
      <xdr:row>50</xdr:row>
      <xdr:rowOff>12326</xdr:rowOff>
    </xdr:from>
    <xdr:to>
      <xdr:col>28</xdr:col>
      <xdr:colOff>571500</xdr:colOff>
      <xdr:row>66</xdr:row>
      <xdr:rowOff>10085</xdr:rowOff>
    </xdr:to>
    <xdr:graphicFrame macro="">
      <xdr:nvGraphicFramePr>
        <xdr:cNvPr id="15" name="Chart 14">
          <a:extLst>
            <a:ext uri="{FF2B5EF4-FFF2-40B4-BE49-F238E27FC236}">
              <a16:creationId xmlns:a16="http://schemas.microsoft.com/office/drawing/2014/main" id="{1129690F-E29B-755A-E883-4A917DB886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0.05984</cdr:x>
      <cdr:y>0.16322</cdr:y>
    </cdr:from>
    <cdr:to>
      <cdr:x>0.19202</cdr:x>
      <cdr:y>0.26085</cdr:y>
    </cdr:to>
    <cdr:sp macro="" textlink="">
      <cdr:nvSpPr>
        <cdr:cNvPr id="2" name="TextBox 1">
          <a:extLst xmlns:a="http://schemas.openxmlformats.org/drawingml/2006/main">
            <a:ext uri="{FF2B5EF4-FFF2-40B4-BE49-F238E27FC236}">
              <a16:creationId xmlns:a16="http://schemas.microsoft.com/office/drawing/2014/main" id="{1280B355-3C36-221D-EB5E-3D0108911383}"/>
            </a:ext>
          </a:extLst>
        </cdr:cNvPr>
        <cdr:cNvSpPr txBox="1"/>
      </cdr:nvSpPr>
      <cdr:spPr>
        <a:xfrm xmlns:a="http://schemas.openxmlformats.org/drawingml/2006/main">
          <a:off x="534761" y="429985"/>
          <a:ext cx="1181100" cy="2571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b="1"/>
            <a:t>Target &lt; 60</a:t>
          </a:r>
        </a:p>
      </cdr:txBody>
    </cdr:sp>
  </cdr:relSizeAnchor>
</c:userShapes>
</file>

<file path=xl/drawings/drawing8.xml><?xml version="1.0" encoding="utf-8"?>
<xdr:wsDr xmlns:xdr="http://schemas.openxmlformats.org/drawingml/2006/spreadsheetDrawing" xmlns:a="http://schemas.openxmlformats.org/drawingml/2006/main">
  <xdr:twoCellAnchor>
    <xdr:from>
      <xdr:col>3</xdr:col>
      <xdr:colOff>38100</xdr:colOff>
      <xdr:row>0</xdr:row>
      <xdr:rowOff>0</xdr:rowOff>
    </xdr:from>
    <xdr:to>
      <xdr:col>22</xdr:col>
      <xdr:colOff>314325</xdr:colOff>
      <xdr:row>35</xdr:row>
      <xdr:rowOff>28575</xdr:rowOff>
    </xdr:to>
    <xdr:graphicFrame macro="">
      <xdr:nvGraphicFramePr>
        <xdr:cNvPr id="2" name="Chart 3">
          <a:extLst>
            <a:ext uri="{FF2B5EF4-FFF2-40B4-BE49-F238E27FC236}">
              <a16:creationId xmlns:a16="http://schemas.microsoft.com/office/drawing/2014/main" id="{6EA97967-5F02-48A4-AF02-1160015569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57150</xdr:colOff>
      <xdr:row>35</xdr:row>
      <xdr:rowOff>66675</xdr:rowOff>
    </xdr:from>
    <xdr:to>
      <xdr:col>22</xdr:col>
      <xdr:colOff>333375</xdr:colOff>
      <xdr:row>72</xdr:row>
      <xdr:rowOff>19050</xdr:rowOff>
    </xdr:to>
    <xdr:graphicFrame macro="">
      <xdr:nvGraphicFramePr>
        <xdr:cNvPr id="3" name="Chart 3">
          <a:extLst>
            <a:ext uri="{FF2B5EF4-FFF2-40B4-BE49-F238E27FC236}">
              <a16:creationId xmlns:a16="http://schemas.microsoft.com/office/drawing/2014/main" id="{43C85FED-70AC-4AB6-83F2-4228619A93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374195</xdr:colOff>
      <xdr:row>25</xdr:row>
      <xdr:rowOff>81642</xdr:rowOff>
    </xdr:from>
    <xdr:to>
      <xdr:col>9</xdr:col>
      <xdr:colOff>122463</xdr:colOff>
      <xdr:row>42</xdr:row>
      <xdr:rowOff>122464</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389164</xdr:colOff>
      <xdr:row>3</xdr:row>
      <xdr:rowOff>142876</xdr:rowOff>
    </xdr:from>
    <xdr:to>
      <xdr:col>29</xdr:col>
      <xdr:colOff>544285</xdr:colOff>
      <xdr:row>20</xdr:row>
      <xdr:rowOff>149678</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174173</xdr:colOff>
      <xdr:row>3</xdr:row>
      <xdr:rowOff>138794</xdr:rowOff>
    </xdr:from>
    <xdr:to>
      <xdr:col>14</xdr:col>
      <xdr:colOff>231322</xdr:colOff>
      <xdr:row>20</xdr:row>
      <xdr:rowOff>149678</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258537</xdr:colOff>
      <xdr:row>24</xdr:row>
      <xdr:rowOff>95252</xdr:rowOff>
    </xdr:from>
    <xdr:to>
      <xdr:col>40</xdr:col>
      <xdr:colOff>353786</xdr:colOff>
      <xdr:row>44</xdr:row>
      <xdr:rowOff>81644</xdr:rowOff>
    </xdr:to>
    <xdr:graphicFrame macro="">
      <xdr:nvGraphicFramePr>
        <xdr:cNvPr id="5" name="Chart 4">
          <a:extLst>
            <a:ext uri="{FF2B5EF4-FFF2-40B4-BE49-F238E27FC236}">
              <a16:creationId xmlns:a16="http://schemas.microsoft.com/office/drawing/2014/main" id="{00000000-0008-0000-03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176891</xdr:colOff>
      <xdr:row>49</xdr:row>
      <xdr:rowOff>70757</xdr:rowOff>
    </xdr:from>
    <xdr:to>
      <xdr:col>14</xdr:col>
      <xdr:colOff>217713</xdr:colOff>
      <xdr:row>66</xdr:row>
      <xdr:rowOff>68036</xdr:rowOff>
    </xdr:to>
    <xdr:graphicFrame macro="">
      <xdr:nvGraphicFramePr>
        <xdr:cNvPr id="6" name="Chart 5">
          <a:extLst>
            <a:ext uri="{FF2B5EF4-FFF2-40B4-BE49-F238E27FC236}">
              <a16:creationId xmlns:a16="http://schemas.microsoft.com/office/drawing/2014/main" id="{00000000-0008-0000-03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31</xdr:col>
      <xdr:colOff>462643</xdr:colOff>
      <xdr:row>4</xdr:row>
      <xdr:rowOff>13608</xdr:rowOff>
    </xdr:from>
    <xdr:to>
      <xdr:col>40</xdr:col>
      <xdr:colOff>217714</xdr:colOff>
      <xdr:row>21</xdr:row>
      <xdr:rowOff>81643</xdr:rowOff>
    </xdr:to>
    <xdr:graphicFrame macro="">
      <xdr:nvGraphicFramePr>
        <xdr:cNvPr id="7" name="Chart 6">
          <a:extLst>
            <a:ext uri="{FF2B5EF4-FFF2-40B4-BE49-F238E27FC236}">
              <a16:creationId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31</xdr:col>
      <xdr:colOff>408215</xdr:colOff>
      <xdr:row>49</xdr:row>
      <xdr:rowOff>27213</xdr:rowOff>
    </xdr:from>
    <xdr:to>
      <xdr:col>40</xdr:col>
      <xdr:colOff>217715</xdr:colOff>
      <xdr:row>66</xdr:row>
      <xdr:rowOff>27213</xdr:rowOff>
    </xdr:to>
    <xdr:graphicFrame macro="">
      <xdr:nvGraphicFramePr>
        <xdr:cNvPr id="8" name="Chart 7">
          <a:extLst>
            <a:ext uri="{FF2B5EF4-FFF2-40B4-BE49-F238E27FC236}">
              <a16:creationId xmlns:a16="http://schemas.microsoft.com/office/drawing/2014/main" id="{00000000-0008-0000-03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557893</xdr:colOff>
      <xdr:row>49</xdr:row>
      <xdr:rowOff>0</xdr:rowOff>
    </xdr:from>
    <xdr:to>
      <xdr:col>30</xdr:col>
      <xdr:colOff>136071</xdr:colOff>
      <xdr:row>65</xdr:row>
      <xdr:rowOff>149678</xdr:rowOff>
    </xdr:to>
    <xdr:graphicFrame macro="">
      <xdr:nvGraphicFramePr>
        <xdr:cNvPr id="9" name="Chart 8">
          <a:extLst>
            <a:ext uri="{FF2B5EF4-FFF2-40B4-BE49-F238E27FC236}">
              <a16:creationId xmlns:a16="http://schemas.microsoft.com/office/drawing/2014/main" id="{00000000-0008-0000-03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285750</xdr:colOff>
      <xdr:row>70</xdr:row>
      <xdr:rowOff>27215</xdr:rowOff>
    </xdr:from>
    <xdr:to>
      <xdr:col>14</xdr:col>
      <xdr:colOff>299357</xdr:colOff>
      <xdr:row>87</xdr:row>
      <xdr:rowOff>17691</xdr:rowOff>
    </xdr:to>
    <xdr:graphicFrame macro="">
      <xdr:nvGraphicFramePr>
        <xdr:cNvPr id="10" name="Chart 9">
          <a:extLst>
            <a:ext uri="{FF2B5EF4-FFF2-40B4-BE49-F238E27FC236}">
              <a16:creationId xmlns:a16="http://schemas.microsoft.com/office/drawing/2014/main" id="{00000000-0008-0000-03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476250</xdr:colOff>
      <xdr:row>70</xdr:row>
      <xdr:rowOff>54430</xdr:rowOff>
    </xdr:from>
    <xdr:to>
      <xdr:col>30</xdr:col>
      <xdr:colOff>54430</xdr:colOff>
      <xdr:row>87</xdr:row>
      <xdr:rowOff>58512</xdr:rowOff>
    </xdr:to>
    <xdr:graphicFrame macro="">
      <xdr:nvGraphicFramePr>
        <xdr:cNvPr id="11" name="Chart 10">
          <a:extLst>
            <a:ext uri="{FF2B5EF4-FFF2-40B4-BE49-F238E27FC236}">
              <a16:creationId xmlns:a16="http://schemas.microsoft.com/office/drawing/2014/main" id="{00000000-0008-0000-03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31</xdr:col>
      <xdr:colOff>489858</xdr:colOff>
      <xdr:row>69</xdr:row>
      <xdr:rowOff>81643</xdr:rowOff>
    </xdr:from>
    <xdr:to>
      <xdr:col>40</xdr:col>
      <xdr:colOff>122464</xdr:colOff>
      <xdr:row>89</xdr:row>
      <xdr:rowOff>54429</xdr:rowOff>
    </xdr:to>
    <xdr:graphicFrame macro="">
      <xdr:nvGraphicFramePr>
        <xdr:cNvPr id="12" name="Chart 11">
          <a:extLst>
            <a:ext uri="{FF2B5EF4-FFF2-40B4-BE49-F238E27FC236}">
              <a16:creationId xmlns:a16="http://schemas.microsoft.com/office/drawing/2014/main" id="{00000000-0008-0000-03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xdr:col>
      <xdr:colOff>9525</xdr:colOff>
      <xdr:row>47</xdr:row>
      <xdr:rowOff>61912</xdr:rowOff>
    </xdr:from>
    <xdr:to>
      <xdr:col>8</xdr:col>
      <xdr:colOff>314325</xdr:colOff>
      <xdr:row>64</xdr:row>
      <xdr:rowOff>52387</xdr:rowOff>
    </xdr:to>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361949</xdr:colOff>
      <xdr:row>50</xdr:row>
      <xdr:rowOff>14287</xdr:rowOff>
    </xdr:from>
    <xdr:to>
      <xdr:col>28</xdr:col>
      <xdr:colOff>137431</xdr:colOff>
      <xdr:row>67</xdr:row>
      <xdr:rowOff>4762</xdr:rowOff>
    </xdr:to>
    <xdr:graphicFrame macro="">
      <xdr:nvGraphicFramePr>
        <xdr:cNvPr id="3" name="Chart 2">
          <a:extLst>
            <a:ext uri="{FF2B5EF4-FFF2-40B4-BE49-F238E27FC236}">
              <a16:creationId xmlns:a16="http://schemas.microsoft.com/office/drawing/2014/main" id="{00000000-0008-0000-07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168089</xdr:colOff>
      <xdr:row>48</xdr:row>
      <xdr:rowOff>123544</xdr:rowOff>
    </xdr:from>
    <xdr:to>
      <xdr:col>39</xdr:col>
      <xdr:colOff>365392</xdr:colOff>
      <xdr:row>65</xdr:row>
      <xdr:rowOff>114019</xdr:rowOff>
    </xdr:to>
    <xdr:graphicFrame macro="">
      <xdr:nvGraphicFramePr>
        <xdr:cNvPr id="4" name="Chart 3">
          <a:extLst>
            <a:ext uri="{FF2B5EF4-FFF2-40B4-BE49-F238E27FC236}">
              <a16:creationId xmlns:a16="http://schemas.microsoft.com/office/drawing/2014/main" id="{00000000-0008-0000-07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457200</xdr:colOff>
      <xdr:row>47</xdr:row>
      <xdr:rowOff>90487</xdr:rowOff>
    </xdr:from>
    <xdr:to>
      <xdr:col>16</xdr:col>
      <xdr:colOff>152400</xdr:colOff>
      <xdr:row>64</xdr:row>
      <xdr:rowOff>80962</xdr:rowOff>
    </xdr:to>
    <xdr:graphicFrame macro="">
      <xdr:nvGraphicFramePr>
        <xdr:cNvPr id="5" name="Chart 4">
          <a:extLst>
            <a:ext uri="{FF2B5EF4-FFF2-40B4-BE49-F238E27FC236}">
              <a16:creationId xmlns:a16="http://schemas.microsoft.com/office/drawing/2014/main" id="{00000000-0008-0000-07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65</xdr:row>
      <xdr:rowOff>80962</xdr:rowOff>
    </xdr:from>
    <xdr:to>
      <xdr:col>8</xdr:col>
      <xdr:colOff>304800</xdr:colOff>
      <xdr:row>82</xdr:row>
      <xdr:rowOff>71437</xdr:rowOff>
    </xdr:to>
    <xdr:graphicFrame macro="">
      <xdr:nvGraphicFramePr>
        <xdr:cNvPr id="6" name="Chart 5">
          <a:extLst>
            <a:ext uri="{FF2B5EF4-FFF2-40B4-BE49-F238E27FC236}">
              <a16:creationId xmlns:a16="http://schemas.microsoft.com/office/drawing/2014/main" id="{00000000-0008-0000-07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476250</xdr:colOff>
      <xdr:row>65</xdr:row>
      <xdr:rowOff>90487</xdr:rowOff>
    </xdr:from>
    <xdr:to>
      <xdr:col>16</xdr:col>
      <xdr:colOff>171450</xdr:colOff>
      <xdr:row>82</xdr:row>
      <xdr:rowOff>80962</xdr:rowOff>
    </xdr:to>
    <xdr:graphicFrame macro="">
      <xdr:nvGraphicFramePr>
        <xdr:cNvPr id="7" name="Chart 6">
          <a:extLst>
            <a:ext uri="{FF2B5EF4-FFF2-40B4-BE49-F238E27FC236}">
              <a16:creationId xmlns:a16="http://schemas.microsoft.com/office/drawing/2014/main" id="{00000000-0008-0000-07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28574</xdr:colOff>
      <xdr:row>83</xdr:row>
      <xdr:rowOff>78764</xdr:rowOff>
    </xdr:from>
    <xdr:to>
      <xdr:col>8</xdr:col>
      <xdr:colOff>331909</xdr:colOff>
      <xdr:row>100</xdr:row>
      <xdr:rowOff>69239</xdr:rowOff>
    </xdr:to>
    <xdr:graphicFrame macro="">
      <xdr:nvGraphicFramePr>
        <xdr:cNvPr id="8" name="Chart 7">
          <a:extLst>
            <a:ext uri="{FF2B5EF4-FFF2-40B4-BE49-F238E27FC236}">
              <a16:creationId xmlns:a16="http://schemas.microsoft.com/office/drawing/2014/main" id="{00000000-0008-0000-07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476250</xdr:colOff>
      <xdr:row>83</xdr:row>
      <xdr:rowOff>80962</xdr:rowOff>
    </xdr:from>
    <xdr:to>
      <xdr:col>16</xdr:col>
      <xdr:colOff>171450</xdr:colOff>
      <xdr:row>100</xdr:row>
      <xdr:rowOff>71437</xdr:rowOff>
    </xdr:to>
    <xdr:graphicFrame macro="">
      <xdr:nvGraphicFramePr>
        <xdr:cNvPr id="9" name="Chart 8">
          <a:extLst>
            <a:ext uri="{FF2B5EF4-FFF2-40B4-BE49-F238E27FC236}">
              <a16:creationId xmlns:a16="http://schemas.microsoft.com/office/drawing/2014/main" id="{00000000-0008-0000-07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571500</xdr:colOff>
      <xdr:row>101</xdr:row>
      <xdr:rowOff>71437</xdr:rowOff>
    </xdr:from>
    <xdr:to>
      <xdr:col>8</xdr:col>
      <xdr:colOff>266700</xdr:colOff>
      <xdr:row>118</xdr:row>
      <xdr:rowOff>61912</xdr:rowOff>
    </xdr:to>
    <xdr:graphicFrame macro="">
      <xdr:nvGraphicFramePr>
        <xdr:cNvPr id="10" name="Chart 9">
          <a:extLst>
            <a:ext uri="{FF2B5EF4-FFF2-40B4-BE49-F238E27FC236}">
              <a16:creationId xmlns:a16="http://schemas.microsoft.com/office/drawing/2014/main" id="{00000000-0008-0000-07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447675</xdr:colOff>
      <xdr:row>101</xdr:row>
      <xdr:rowOff>42862</xdr:rowOff>
    </xdr:from>
    <xdr:to>
      <xdr:col>16</xdr:col>
      <xdr:colOff>142875</xdr:colOff>
      <xdr:row>118</xdr:row>
      <xdr:rowOff>85165</xdr:rowOff>
    </xdr:to>
    <xdr:graphicFrame macro="">
      <xdr:nvGraphicFramePr>
        <xdr:cNvPr id="11" name="Chart 10">
          <a:extLst>
            <a:ext uri="{FF2B5EF4-FFF2-40B4-BE49-F238E27FC236}">
              <a16:creationId xmlns:a16="http://schemas.microsoft.com/office/drawing/2014/main" id="{00000000-0008-0000-07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332014</xdr:colOff>
      <xdr:row>101</xdr:row>
      <xdr:rowOff>97290</xdr:rowOff>
    </xdr:from>
    <xdr:to>
      <xdr:col>24</xdr:col>
      <xdr:colOff>27214</xdr:colOff>
      <xdr:row>118</xdr:row>
      <xdr:rowOff>87765</xdr:rowOff>
    </xdr:to>
    <xdr:graphicFrame macro="">
      <xdr:nvGraphicFramePr>
        <xdr:cNvPr id="12" name="Chart 11">
          <a:extLst>
            <a:ext uri="{FF2B5EF4-FFF2-40B4-BE49-F238E27FC236}">
              <a16:creationId xmlns:a16="http://schemas.microsoft.com/office/drawing/2014/main" id="{00000000-0008-0000-07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24</xdr:col>
      <xdr:colOff>161925</xdr:colOff>
      <xdr:row>101</xdr:row>
      <xdr:rowOff>106816</xdr:rowOff>
    </xdr:from>
    <xdr:to>
      <xdr:col>31</xdr:col>
      <xdr:colOff>469447</xdr:colOff>
      <xdr:row>118</xdr:row>
      <xdr:rowOff>97291</xdr:rowOff>
    </xdr:to>
    <xdr:graphicFrame macro="">
      <xdr:nvGraphicFramePr>
        <xdr:cNvPr id="13" name="Chart 12">
          <a:extLst>
            <a:ext uri="{FF2B5EF4-FFF2-40B4-BE49-F238E27FC236}">
              <a16:creationId xmlns:a16="http://schemas.microsoft.com/office/drawing/2014/main" id="{00000000-0008-0000-07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32</xdr:col>
      <xdr:colOff>92529</xdr:colOff>
      <xdr:row>101</xdr:row>
      <xdr:rowOff>79602</xdr:rowOff>
    </xdr:from>
    <xdr:to>
      <xdr:col>39</xdr:col>
      <xdr:colOff>397329</xdr:colOff>
      <xdr:row>118</xdr:row>
      <xdr:rowOff>70077</xdr:rowOff>
    </xdr:to>
    <xdr:graphicFrame macro="">
      <xdr:nvGraphicFramePr>
        <xdr:cNvPr id="14" name="Chart 13">
          <a:extLst>
            <a:ext uri="{FF2B5EF4-FFF2-40B4-BE49-F238E27FC236}">
              <a16:creationId xmlns:a16="http://schemas.microsoft.com/office/drawing/2014/main" id="{00000000-0008-0000-07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314326</xdr:colOff>
      <xdr:row>65</xdr:row>
      <xdr:rowOff>95250</xdr:rowOff>
    </xdr:from>
    <xdr:to>
      <xdr:col>39</xdr:col>
      <xdr:colOff>604834</xdr:colOff>
      <xdr:row>100</xdr:row>
      <xdr:rowOff>100011</xdr:rowOff>
    </xdr:to>
    <xdr:graphicFrame macro="">
      <xdr:nvGraphicFramePr>
        <xdr:cNvPr id="15" name="Chart 14">
          <a:extLst>
            <a:ext uri="{FF2B5EF4-FFF2-40B4-BE49-F238E27FC236}">
              <a16:creationId xmlns:a16="http://schemas.microsoft.com/office/drawing/2014/main" id="{00000000-0008-0000-07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571499</xdr:colOff>
      <xdr:row>119</xdr:row>
      <xdr:rowOff>42862</xdr:rowOff>
    </xdr:from>
    <xdr:to>
      <xdr:col>16</xdr:col>
      <xdr:colOff>200024</xdr:colOff>
      <xdr:row>136</xdr:row>
      <xdr:rowOff>33337</xdr:rowOff>
    </xdr:to>
    <xdr:graphicFrame macro="">
      <xdr:nvGraphicFramePr>
        <xdr:cNvPr id="16" name="Chart 15">
          <a:extLst>
            <a:ext uri="{FF2B5EF4-FFF2-40B4-BE49-F238E27FC236}">
              <a16:creationId xmlns:a16="http://schemas.microsoft.com/office/drawing/2014/main" id="{333CD963-88A9-3B71-2686-A7A9C6FBEF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16</xdr:col>
      <xdr:colOff>352425</xdr:colOff>
      <xdr:row>119</xdr:row>
      <xdr:rowOff>38100</xdr:rowOff>
    </xdr:from>
    <xdr:to>
      <xdr:col>22</xdr:col>
      <xdr:colOff>466725</xdr:colOff>
      <xdr:row>136</xdr:row>
      <xdr:rowOff>28575</xdr:rowOff>
    </xdr:to>
    <xdr:graphicFrame macro="">
      <xdr:nvGraphicFramePr>
        <xdr:cNvPr id="20" name="Chart 19">
          <a:extLst>
            <a:ext uri="{FF2B5EF4-FFF2-40B4-BE49-F238E27FC236}">
              <a16:creationId xmlns:a16="http://schemas.microsoft.com/office/drawing/2014/main" id="{F765908C-B7AC-4454-BEE5-9DF6C5779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xdr:col>
      <xdr:colOff>0</xdr:colOff>
      <xdr:row>137</xdr:row>
      <xdr:rowOff>0</xdr:rowOff>
    </xdr:from>
    <xdr:to>
      <xdr:col>13</xdr:col>
      <xdr:colOff>87382</xdr:colOff>
      <xdr:row>153</xdr:row>
      <xdr:rowOff>152400</xdr:rowOff>
    </xdr:to>
    <xdr:graphicFrame macro="">
      <xdr:nvGraphicFramePr>
        <xdr:cNvPr id="18" name="Chart 17">
          <a:extLst>
            <a:ext uri="{FF2B5EF4-FFF2-40B4-BE49-F238E27FC236}">
              <a16:creationId xmlns:a16="http://schemas.microsoft.com/office/drawing/2014/main" id="{7B45B9A8-684F-4DA9-80A0-84A46DC8A8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23</xdr:col>
      <xdr:colOff>47625</xdr:colOff>
      <xdr:row>119</xdr:row>
      <xdr:rowOff>38100</xdr:rowOff>
    </xdr:from>
    <xdr:to>
      <xdr:col>33</xdr:col>
      <xdr:colOff>174381</xdr:colOff>
      <xdr:row>136</xdr:row>
      <xdr:rowOff>28575</xdr:rowOff>
    </xdr:to>
    <xdr:graphicFrame macro="">
      <xdr:nvGraphicFramePr>
        <xdr:cNvPr id="21" name="Chart 20">
          <a:extLst>
            <a:ext uri="{FF2B5EF4-FFF2-40B4-BE49-F238E27FC236}">
              <a16:creationId xmlns:a16="http://schemas.microsoft.com/office/drawing/2014/main" id="{502647AE-6793-4E3D-8083-A481F70143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33</xdr:col>
      <xdr:colOff>333375</xdr:colOff>
      <xdr:row>119</xdr:row>
      <xdr:rowOff>19050</xdr:rowOff>
    </xdr:from>
    <xdr:to>
      <xdr:col>43</xdr:col>
      <xdr:colOff>498231</xdr:colOff>
      <xdr:row>136</xdr:row>
      <xdr:rowOff>9525</xdr:rowOff>
    </xdr:to>
    <xdr:graphicFrame macro="">
      <xdr:nvGraphicFramePr>
        <xdr:cNvPr id="22" name="Chart 21">
          <a:extLst>
            <a:ext uri="{FF2B5EF4-FFF2-40B4-BE49-F238E27FC236}">
              <a16:creationId xmlns:a16="http://schemas.microsoft.com/office/drawing/2014/main" id="{D45D33DF-5C0E-4991-B79A-A8FF52CF4D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3</xdr:col>
      <xdr:colOff>18221</xdr:colOff>
      <xdr:row>0</xdr:row>
      <xdr:rowOff>0</xdr:rowOff>
    </xdr:from>
    <xdr:to>
      <xdr:col>10</xdr:col>
      <xdr:colOff>326335</xdr:colOff>
      <xdr:row>14</xdr:row>
      <xdr:rowOff>76200</xdr:rowOff>
    </xdr:to>
    <xdr:graphicFrame macro="">
      <xdr:nvGraphicFramePr>
        <xdr:cNvPr id="2" name="Chart 1">
          <a:extLst>
            <a:ext uri="{FF2B5EF4-FFF2-40B4-BE49-F238E27FC236}">
              <a16:creationId xmlns:a16="http://schemas.microsoft.com/office/drawing/2014/main" id="{6BF13268-5D04-CDAA-3EAB-DF2EDF9501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26</xdr:row>
      <xdr:rowOff>51558</xdr:rowOff>
    </xdr:from>
    <xdr:to>
      <xdr:col>12</xdr:col>
      <xdr:colOff>47625</xdr:colOff>
      <xdr:row>40</xdr:row>
      <xdr:rowOff>127758</xdr:rowOff>
    </xdr:to>
    <xdr:graphicFrame macro="">
      <xdr:nvGraphicFramePr>
        <xdr:cNvPr id="3" name="Chart 2">
          <a:extLst>
            <a:ext uri="{FF2B5EF4-FFF2-40B4-BE49-F238E27FC236}">
              <a16:creationId xmlns:a16="http://schemas.microsoft.com/office/drawing/2014/main" id="{4CD225C6-D8F8-2476-37F2-D27AC7A32E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463826</xdr:colOff>
      <xdr:row>42</xdr:row>
      <xdr:rowOff>99390</xdr:rowOff>
    </xdr:from>
    <xdr:to>
      <xdr:col>26</xdr:col>
      <xdr:colOff>557452</xdr:colOff>
      <xdr:row>56</xdr:row>
      <xdr:rowOff>150743</xdr:rowOff>
    </xdr:to>
    <xdr:graphicFrame macro="">
      <xdr:nvGraphicFramePr>
        <xdr:cNvPr id="4" name="Chart 3">
          <a:extLst>
            <a:ext uri="{FF2B5EF4-FFF2-40B4-BE49-F238E27FC236}">
              <a16:creationId xmlns:a16="http://schemas.microsoft.com/office/drawing/2014/main" id="{9D42643F-E3A0-438C-81F7-8D51C9D63A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596348</xdr:colOff>
      <xdr:row>69</xdr:row>
      <xdr:rowOff>82827</xdr:rowOff>
    </xdr:from>
    <xdr:to>
      <xdr:col>28</xdr:col>
      <xdr:colOff>115161</xdr:colOff>
      <xdr:row>83</xdr:row>
      <xdr:rowOff>134179</xdr:rowOff>
    </xdr:to>
    <xdr:graphicFrame macro="">
      <xdr:nvGraphicFramePr>
        <xdr:cNvPr id="5" name="Chart 4">
          <a:extLst>
            <a:ext uri="{FF2B5EF4-FFF2-40B4-BE49-F238E27FC236}">
              <a16:creationId xmlns:a16="http://schemas.microsoft.com/office/drawing/2014/main" id="{1732BB40-7BAD-4B75-AA59-103DAE56C1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4</xdr:col>
      <xdr:colOff>495300</xdr:colOff>
      <xdr:row>21</xdr:row>
      <xdr:rowOff>128587</xdr:rowOff>
    </xdr:from>
    <xdr:to>
      <xdr:col>23</xdr:col>
      <xdr:colOff>409574</xdr:colOff>
      <xdr:row>42</xdr:row>
      <xdr:rowOff>28575</xdr:rowOff>
    </xdr:to>
    <xdr:graphicFrame macro="">
      <xdr:nvGraphicFramePr>
        <xdr:cNvPr id="2" name="Chart 1">
          <a:extLst>
            <a:ext uri="{FF2B5EF4-FFF2-40B4-BE49-F238E27FC236}">
              <a16:creationId xmlns:a16="http://schemas.microsoft.com/office/drawing/2014/main" id="{BEF69A7E-98F6-4275-836A-938E6C2F34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9.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0.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9043E-BCB4-4D82-839F-437F51525887}">
  <sheetPr codeName="Sheet41">
    <pageSetUpPr fitToPage="1"/>
  </sheetPr>
  <dimension ref="A1:CG529"/>
  <sheetViews>
    <sheetView topLeftCell="A3" zoomScale="85" zoomScaleNormal="85" workbookViewId="0">
      <selection activeCell="AA43" sqref="AA43"/>
    </sheetView>
  </sheetViews>
  <sheetFormatPr defaultColWidth="9.140625" defaultRowHeight="12.75" x14ac:dyDescent="0.2"/>
  <cols>
    <col min="1" max="1" width="2.7109375" style="1" customWidth="1"/>
    <col min="2" max="2" width="11.7109375" style="1" customWidth="1"/>
    <col min="3" max="4" width="9.140625" style="97"/>
    <col min="5" max="5" width="10" style="2" customWidth="1"/>
    <col min="6" max="6" width="9.140625" style="97"/>
    <col min="7" max="7" width="4" style="97" customWidth="1"/>
    <col min="8" max="8" width="9.140625" style="97"/>
    <col min="9" max="9" width="9.7109375" style="2" customWidth="1"/>
    <col min="10" max="10" width="9.140625" style="97"/>
    <col min="11" max="11" width="4.140625" style="97" customWidth="1"/>
    <col min="12" max="18" width="12.7109375" style="97" customWidth="1"/>
    <col min="19" max="19" width="14.7109375" style="97" customWidth="1"/>
    <col min="20" max="20" width="12.7109375" style="97" customWidth="1"/>
    <col min="21" max="21" width="13.5703125" style="97" customWidth="1"/>
    <col min="22" max="23" width="12.7109375" style="97" customWidth="1"/>
    <col min="24" max="24" width="4.42578125" style="97" customWidth="1"/>
    <col min="25" max="25" width="7.5703125" style="97" customWidth="1"/>
    <col min="26" max="26" width="9.140625" style="97"/>
    <col min="27" max="27" width="10" style="2" customWidth="1"/>
    <col min="28" max="28" width="4.5703125" style="97" customWidth="1"/>
    <col min="29" max="29" width="8.28515625" style="97" customWidth="1"/>
    <col min="30" max="31" width="9.140625" style="97"/>
    <col min="32" max="32" width="8.28515625" style="2" customWidth="1"/>
    <col min="33" max="68" width="9.140625" style="1"/>
    <col min="69" max="85" width="9.140625" style="2"/>
    <col min="86" max="16384" width="9.140625" style="97"/>
  </cols>
  <sheetData>
    <row r="1" spans="1:68" x14ac:dyDescent="0.2">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row>
    <row r="2" spans="1:68" ht="13.5" thickBot="1" x14ac:dyDescent="0.25">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row>
    <row r="3" spans="1:68" s="2" customFormat="1" ht="27.75" customHeight="1" thickTop="1" thickBot="1" x14ac:dyDescent="0.25">
      <c r="A3" s="15"/>
      <c r="B3" s="15"/>
      <c r="C3" s="3"/>
      <c r="D3" s="4"/>
      <c r="E3" s="4"/>
      <c r="F3" s="4"/>
      <c r="G3" s="4"/>
      <c r="H3" s="4"/>
      <c r="I3" s="5"/>
      <c r="J3" s="6"/>
      <c r="K3" s="6"/>
      <c r="L3" s="6"/>
      <c r="M3" s="6"/>
      <c r="N3" s="6"/>
      <c r="O3" s="6"/>
      <c r="P3" s="6"/>
      <c r="Q3" s="6"/>
      <c r="R3" s="6"/>
      <c r="S3" s="6"/>
      <c r="T3" s="6"/>
      <c r="U3" s="6"/>
      <c r="V3" s="6"/>
      <c r="W3" s="6"/>
      <c r="X3" s="6"/>
      <c r="Y3" s="6"/>
      <c r="Z3" s="6"/>
      <c r="AA3" s="6"/>
      <c r="AB3" s="6"/>
      <c r="AC3" s="6"/>
      <c r="AD3" s="6"/>
      <c r="AE3" s="7"/>
      <c r="AF3" s="8"/>
      <c r="AG3" s="15"/>
      <c r="AH3" s="15"/>
      <c r="AI3" s="15"/>
      <c r="AJ3" s="15"/>
      <c r="AK3" s="15"/>
      <c r="AL3" s="15"/>
      <c r="AM3" s="15"/>
      <c r="AN3" s="15"/>
      <c r="AO3" s="15"/>
      <c r="AP3" s="15"/>
      <c r="AQ3" s="15"/>
      <c r="AR3" s="15"/>
      <c r="AS3" s="15"/>
      <c r="AT3" s="15"/>
      <c r="AU3" s="15"/>
      <c r="AV3" s="15"/>
      <c r="AW3" s="15"/>
      <c r="AX3" s="15"/>
      <c r="AY3" s="15"/>
      <c r="AZ3" s="15"/>
      <c r="BA3" s="1"/>
      <c r="BB3" s="1"/>
      <c r="BC3" s="1"/>
      <c r="BD3" s="1"/>
      <c r="BE3" s="1"/>
      <c r="BF3" s="1"/>
      <c r="BG3" s="1"/>
      <c r="BH3" s="1"/>
      <c r="BI3" s="1"/>
      <c r="BJ3" s="1"/>
      <c r="BK3" s="1"/>
      <c r="BL3" s="1"/>
      <c r="BM3" s="1"/>
      <c r="BN3" s="1"/>
      <c r="BO3" s="1"/>
      <c r="BP3" s="1"/>
    </row>
    <row r="4" spans="1:68" s="2" customFormat="1" x14ac:dyDescent="0.2">
      <c r="A4" s="15"/>
      <c r="B4" s="15"/>
      <c r="C4" s="9"/>
      <c r="D4" s="10"/>
      <c r="E4" s="10"/>
      <c r="F4" s="10"/>
      <c r="G4" s="10"/>
      <c r="H4" s="10"/>
      <c r="I4" s="10"/>
      <c r="J4" s="10"/>
      <c r="K4" s="11"/>
      <c r="L4" s="10"/>
      <c r="M4" s="10"/>
      <c r="N4" s="10"/>
      <c r="O4" s="10"/>
      <c r="P4" s="10"/>
      <c r="Q4" s="10"/>
      <c r="R4" s="10"/>
      <c r="S4" s="10"/>
      <c r="T4" s="10"/>
      <c r="U4" s="10"/>
      <c r="V4" s="10"/>
      <c r="W4" s="10"/>
      <c r="X4" s="12"/>
      <c r="Y4" s="10"/>
      <c r="Z4" s="10"/>
      <c r="AA4" s="10"/>
      <c r="AB4" s="10"/>
      <c r="AC4" s="10"/>
      <c r="AD4" s="10"/>
      <c r="AE4" s="10"/>
      <c r="AF4" s="13"/>
      <c r="AG4" s="15"/>
      <c r="AH4" s="15"/>
      <c r="AI4" s="15"/>
      <c r="AJ4" s="15"/>
      <c r="AK4" s="15"/>
      <c r="AL4" s="15"/>
      <c r="AM4" s="15"/>
      <c r="AN4" s="15"/>
      <c r="AO4" s="15"/>
      <c r="AP4" s="15"/>
      <c r="AQ4" s="15"/>
      <c r="AR4" s="15"/>
      <c r="AS4" s="15"/>
      <c r="AT4" s="15"/>
      <c r="AU4" s="15"/>
      <c r="AV4" s="15"/>
      <c r="AW4" s="15"/>
      <c r="AX4" s="15"/>
      <c r="AY4" s="15"/>
      <c r="AZ4" s="15"/>
      <c r="BA4" s="1"/>
      <c r="BB4" s="1"/>
      <c r="BC4" s="1"/>
      <c r="BD4" s="1"/>
      <c r="BE4" s="1"/>
      <c r="BF4" s="1"/>
      <c r="BG4" s="1"/>
      <c r="BH4" s="1"/>
      <c r="BI4" s="1"/>
      <c r="BJ4" s="1"/>
      <c r="BK4" s="1"/>
      <c r="BL4" s="1"/>
      <c r="BM4" s="1"/>
      <c r="BN4" s="1"/>
      <c r="BO4" s="1"/>
      <c r="BP4" s="1"/>
    </row>
    <row r="5" spans="1:68" ht="13.5" thickBot="1" x14ac:dyDescent="0.25">
      <c r="A5" s="15"/>
      <c r="B5" s="15"/>
      <c r="C5" s="14"/>
      <c r="D5" s="15"/>
      <c r="E5" s="15"/>
      <c r="F5" s="15"/>
      <c r="G5" s="15"/>
      <c r="H5" s="15"/>
      <c r="I5" s="15"/>
      <c r="J5" s="15"/>
      <c r="K5" s="16"/>
      <c r="L5" s="15"/>
      <c r="M5" s="15"/>
      <c r="N5" s="15"/>
      <c r="O5" s="15"/>
      <c r="P5" s="15"/>
      <c r="Q5" s="15"/>
      <c r="R5" s="15"/>
      <c r="S5" s="15"/>
      <c r="T5" s="15"/>
      <c r="U5" s="15"/>
      <c r="V5" s="15"/>
      <c r="W5" s="15"/>
      <c r="X5" s="17"/>
      <c r="Y5" s="15"/>
      <c r="Z5" s="15"/>
      <c r="AA5" s="15"/>
      <c r="AB5" s="15"/>
      <c r="AC5" s="15"/>
      <c r="AD5" s="15"/>
      <c r="AE5" s="15"/>
      <c r="AF5" s="18"/>
      <c r="AG5" s="15"/>
      <c r="AH5" s="15"/>
      <c r="AI5" s="15"/>
      <c r="AJ5" s="15"/>
      <c r="AK5" s="15"/>
      <c r="AL5" s="15"/>
      <c r="AM5" s="15"/>
      <c r="AN5" s="15"/>
      <c r="AO5" s="15"/>
      <c r="AP5" s="15"/>
      <c r="AQ5" s="15"/>
      <c r="AR5" s="15"/>
      <c r="AS5" s="15"/>
      <c r="AT5" s="15"/>
      <c r="AU5" s="15"/>
      <c r="AV5" s="15"/>
      <c r="AW5" s="15"/>
      <c r="AX5" s="15"/>
      <c r="AY5" s="15"/>
      <c r="AZ5" s="15"/>
    </row>
    <row r="6" spans="1:68" ht="13.5" thickBot="1" x14ac:dyDescent="0.25">
      <c r="A6" s="15"/>
      <c r="B6" s="15"/>
      <c r="C6" s="9"/>
      <c r="D6" s="10"/>
      <c r="E6" s="10"/>
      <c r="F6" s="10"/>
      <c r="G6" s="10"/>
      <c r="H6" s="10"/>
      <c r="I6" s="10"/>
      <c r="J6" s="10"/>
      <c r="K6" s="16"/>
      <c r="L6" s="15"/>
      <c r="M6" s="15"/>
      <c r="N6" s="15"/>
      <c r="O6" s="15"/>
      <c r="P6" s="15"/>
      <c r="Q6" s="15"/>
      <c r="R6" s="15"/>
      <c r="S6" s="15"/>
      <c r="T6" s="15"/>
      <c r="U6" s="15"/>
      <c r="V6" s="15"/>
      <c r="W6" s="15"/>
      <c r="X6" s="17"/>
      <c r="Y6" s="10"/>
      <c r="Z6" s="10"/>
      <c r="AA6" s="10"/>
      <c r="AB6" s="10"/>
      <c r="AC6" s="10"/>
      <c r="AD6" s="10"/>
      <c r="AE6" s="10"/>
      <c r="AF6" s="13"/>
      <c r="AG6" s="15"/>
      <c r="AH6" s="15"/>
      <c r="AI6" s="15"/>
      <c r="AJ6" s="15"/>
      <c r="AK6" s="15"/>
      <c r="AL6" s="15"/>
      <c r="AM6" s="15"/>
      <c r="AN6" s="15"/>
      <c r="AO6" s="15"/>
      <c r="AP6" s="15"/>
      <c r="AQ6" s="15"/>
      <c r="AR6" s="15"/>
      <c r="AS6" s="15"/>
      <c r="AT6" s="15"/>
      <c r="AU6" s="15"/>
      <c r="AV6" s="15"/>
      <c r="AW6" s="15"/>
      <c r="AX6" s="15"/>
      <c r="AY6" s="15"/>
      <c r="AZ6" s="15"/>
    </row>
    <row r="7" spans="1:68" ht="18.75" customHeight="1" thickBot="1" x14ac:dyDescent="0.3">
      <c r="A7" s="15"/>
      <c r="B7" s="15"/>
      <c r="C7" s="14"/>
      <c r="D7" s="882" t="s">
        <v>0</v>
      </c>
      <c r="E7" s="883"/>
      <c r="F7" s="884"/>
      <c r="G7" s="15"/>
      <c r="H7" s="882" t="s">
        <v>199</v>
      </c>
      <c r="I7" s="883"/>
      <c r="J7" s="884"/>
      <c r="K7" s="15"/>
      <c r="L7" s="932" t="s">
        <v>332</v>
      </c>
      <c r="M7" s="933"/>
      <c r="N7" s="933"/>
      <c r="O7" s="933"/>
      <c r="P7" s="933"/>
      <c r="Q7" s="933"/>
      <c r="R7" s="933"/>
      <c r="S7" s="933"/>
      <c r="T7" s="933"/>
      <c r="U7" s="933"/>
      <c r="V7" s="933"/>
      <c r="W7" s="933"/>
      <c r="X7" s="19"/>
      <c r="Y7" s="885" t="s">
        <v>333</v>
      </c>
      <c r="Z7" s="886"/>
      <c r="AA7" s="887"/>
      <c r="AB7" s="15"/>
      <c r="AC7" s="885" t="s">
        <v>1</v>
      </c>
      <c r="AD7" s="886"/>
      <c r="AE7" s="887"/>
      <c r="AF7" s="18"/>
      <c r="AG7" s="15"/>
      <c r="AH7" s="15"/>
      <c r="AI7" s="15"/>
      <c r="AJ7" s="15"/>
      <c r="AK7" s="15"/>
      <c r="AL7" s="15"/>
      <c r="AM7" s="15"/>
      <c r="AN7" s="15"/>
      <c r="AO7" s="15"/>
      <c r="AP7" s="15"/>
      <c r="AQ7" s="15"/>
      <c r="AR7" s="15"/>
      <c r="AS7" s="15"/>
      <c r="AT7" s="15"/>
      <c r="AU7" s="15"/>
      <c r="AV7" s="15"/>
      <c r="AW7" s="15"/>
      <c r="AX7" s="15"/>
      <c r="AY7" s="15"/>
      <c r="AZ7" s="15"/>
    </row>
    <row r="8" spans="1:68" ht="18.75" customHeight="1" thickBot="1" x14ac:dyDescent="0.35">
      <c r="A8" s="15"/>
      <c r="B8" s="15"/>
      <c r="C8" s="14"/>
      <c r="D8" s="944"/>
      <c r="E8" s="945"/>
      <c r="F8" s="946"/>
      <c r="G8" s="15"/>
      <c r="H8" s="947">
        <v>1</v>
      </c>
      <c r="I8" s="948"/>
      <c r="J8" s="949"/>
      <c r="K8" s="15"/>
      <c r="L8" s="934"/>
      <c r="M8" s="847"/>
      <c r="N8" s="847"/>
      <c r="O8" s="847"/>
      <c r="P8" s="847"/>
      <c r="Q8" s="847"/>
      <c r="R8" s="847"/>
      <c r="S8" s="847"/>
      <c r="T8" s="847"/>
      <c r="U8" s="847"/>
      <c r="V8" s="847"/>
      <c r="W8" s="847"/>
      <c r="X8" s="20"/>
      <c r="Y8" s="950">
        <v>1</v>
      </c>
      <c r="Z8" s="951"/>
      <c r="AA8" s="952"/>
      <c r="AB8" s="15"/>
      <c r="AC8" s="894"/>
      <c r="AD8" s="894"/>
      <c r="AE8" s="895"/>
      <c r="AF8" s="18"/>
      <c r="AG8" s="15"/>
      <c r="AH8" s="691"/>
      <c r="AI8" s="15"/>
      <c r="AJ8" s="15"/>
      <c r="AK8" s="15"/>
      <c r="AL8" s="15"/>
      <c r="AM8" s="15"/>
      <c r="AN8" s="15"/>
      <c r="AO8" s="15"/>
      <c r="AP8" s="15"/>
      <c r="AQ8" s="15"/>
      <c r="AR8" s="15"/>
      <c r="AS8" s="15"/>
      <c r="AT8" s="15"/>
      <c r="AU8" s="15"/>
      <c r="AV8" s="15"/>
      <c r="AW8" s="15"/>
      <c r="AX8" s="15"/>
      <c r="AY8" s="15"/>
      <c r="AZ8" s="15"/>
    </row>
    <row r="9" spans="1:68" ht="19.5" customHeight="1" thickBot="1" x14ac:dyDescent="0.3">
      <c r="A9" s="15"/>
      <c r="B9" s="15"/>
      <c r="C9" s="14"/>
      <c r="D9" s="21"/>
      <c r="E9" s="22"/>
      <c r="F9" s="23"/>
      <c r="G9" s="15"/>
      <c r="H9" s="21"/>
      <c r="I9" s="22"/>
      <c r="J9" s="23"/>
      <c r="K9" s="15"/>
      <c r="L9" s="926" t="s">
        <v>2</v>
      </c>
      <c r="M9" s="935"/>
      <c r="N9" s="938" t="s">
        <v>387</v>
      </c>
      <c r="O9" s="939"/>
      <c r="P9" s="926" t="s">
        <v>388</v>
      </c>
      <c r="Q9" s="935"/>
      <c r="R9" s="926" t="s">
        <v>3</v>
      </c>
      <c r="S9" s="935"/>
      <c r="T9" s="926" t="s">
        <v>4</v>
      </c>
      <c r="U9" s="935"/>
      <c r="V9" s="926" t="s">
        <v>5</v>
      </c>
      <c r="W9" s="927"/>
      <c r="X9" s="15"/>
      <c r="Y9" s="21"/>
      <c r="Z9" s="22"/>
      <c r="AA9" s="23"/>
      <c r="AB9" s="15"/>
      <c r="AC9" s="21"/>
      <c r="AD9" s="22"/>
      <c r="AE9" s="23"/>
      <c r="AF9" s="18"/>
      <c r="AG9" s="15"/>
      <c r="AH9" s="15"/>
      <c r="AI9" s="15"/>
      <c r="AJ9" s="15"/>
      <c r="AK9" s="15"/>
      <c r="AL9" s="15"/>
      <c r="AM9" s="15"/>
      <c r="AN9" s="15"/>
      <c r="AO9" s="15"/>
      <c r="AP9" s="15"/>
      <c r="AQ9" s="15"/>
      <c r="AR9" s="15"/>
      <c r="AS9" s="15"/>
      <c r="AT9" s="15"/>
      <c r="AU9" s="15"/>
      <c r="AV9" s="15"/>
      <c r="AW9" s="15"/>
      <c r="AX9" s="15"/>
      <c r="AY9" s="15"/>
      <c r="AZ9" s="15"/>
    </row>
    <row r="10" spans="1:68" ht="15.75" customHeight="1" x14ac:dyDescent="0.25">
      <c r="A10" s="15"/>
      <c r="B10" s="15"/>
      <c r="C10" s="14"/>
      <c r="D10" s="21"/>
      <c r="E10" s="24">
        <v>800</v>
      </c>
      <c r="F10" s="25" t="s">
        <v>6</v>
      </c>
      <c r="G10" s="15"/>
      <c r="H10" s="21"/>
      <c r="I10" s="24">
        <v>9</v>
      </c>
      <c r="J10" s="25" t="s">
        <v>6</v>
      </c>
      <c r="K10" s="15"/>
      <c r="L10" s="928"/>
      <c r="M10" s="936"/>
      <c r="N10" s="940"/>
      <c r="O10" s="941"/>
      <c r="P10" s="928"/>
      <c r="Q10" s="936"/>
      <c r="R10" s="928"/>
      <c r="S10" s="936"/>
      <c r="T10" s="928"/>
      <c r="U10" s="936"/>
      <c r="V10" s="928"/>
      <c r="W10" s="929"/>
      <c r="X10" s="15"/>
      <c r="Y10" s="21"/>
      <c r="Z10" s="24">
        <v>9</v>
      </c>
      <c r="AA10" s="25" t="s">
        <v>6</v>
      </c>
      <c r="AB10" s="15"/>
      <c r="AC10" s="21"/>
      <c r="AD10" s="24">
        <v>45</v>
      </c>
      <c r="AE10" s="25" t="s">
        <v>6</v>
      </c>
      <c r="AF10" s="18"/>
      <c r="AG10" s="15"/>
      <c r="AH10" s="15"/>
      <c r="AI10" s="15"/>
      <c r="AJ10" s="15"/>
      <c r="AK10" s="15"/>
      <c r="AL10" s="15"/>
      <c r="AM10" s="15"/>
      <c r="AN10" s="15"/>
      <c r="AO10" s="15"/>
      <c r="AP10" s="15"/>
      <c r="AQ10" s="15"/>
      <c r="AR10" s="15"/>
      <c r="AS10" s="15"/>
      <c r="AT10" s="15"/>
      <c r="AU10" s="15"/>
      <c r="AV10" s="15"/>
      <c r="AW10" s="15"/>
      <c r="AX10" s="15"/>
      <c r="AY10" s="15"/>
      <c r="AZ10" s="15"/>
    </row>
    <row r="11" spans="1:68" ht="18" customHeight="1" x14ac:dyDescent="0.25">
      <c r="A11" s="15"/>
      <c r="B11" s="15"/>
      <c r="C11" s="14"/>
      <c r="D11" s="21"/>
      <c r="E11" s="26">
        <v>750</v>
      </c>
      <c r="F11" s="25" t="s">
        <v>6</v>
      </c>
      <c r="G11" s="15"/>
      <c r="H11" s="21"/>
      <c r="I11" s="26">
        <v>8</v>
      </c>
      <c r="J11" s="25" t="s">
        <v>6</v>
      </c>
      <c r="K11" s="15"/>
      <c r="L11" s="930"/>
      <c r="M11" s="937"/>
      <c r="N11" s="942"/>
      <c r="O11" s="943"/>
      <c r="P11" s="930"/>
      <c r="Q11" s="937"/>
      <c r="R11" s="930"/>
      <c r="S11" s="937"/>
      <c r="T11" s="930"/>
      <c r="U11" s="937"/>
      <c r="V11" s="930"/>
      <c r="W11" s="931"/>
      <c r="X11" s="15"/>
      <c r="Y11" s="21"/>
      <c r="Z11" s="26">
        <v>8</v>
      </c>
      <c r="AA11" s="25" t="s">
        <v>6</v>
      </c>
      <c r="AB11" s="15"/>
      <c r="AC11" s="21"/>
      <c r="AD11" s="26">
        <v>40</v>
      </c>
      <c r="AE11" s="25" t="s">
        <v>6</v>
      </c>
      <c r="AF11" s="18"/>
      <c r="AG11" s="15"/>
      <c r="AH11" s="15"/>
      <c r="AI11" s="15"/>
      <c r="AJ11" s="15"/>
      <c r="AK11" s="15"/>
      <c r="AL11" s="15"/>
      <c r="AM11" s="15"/>
      <c r="AN11" s="15"/>
      <c r="AO11" s="15"/>
      <c r="AP11" s="15"/>
      <c r="AQ11" s="15"/>
      <c r="AR11" s="15"/>
      <c r="AS11" s="15"/>
      <c r="AT11" s="15"/>
      <c r="AU11" s="15"/>
      <c r="AV11" s="15"/>
      <c r="AW11" s="15"/>
      <c r="AX11" s="15"/>
      <c r="AY11" s="15"/>
      <c r="AZ11" s="15"/>
    </row>
    <row r="12" spans="1:68" ht="18.75" customHeight="1" thickBot="1" x14ac:dyDescent="0.3">
      <c r="A12" s="15"/>
      <c r="B12" s="15"/>
      <c r="C12" s="14"/>
      <c r="D12" s="21"/>
      <c r="E12" s="27">
        <v>650</v>
      </c>
      <c r="F12" s="25" t="s">
        <v>6</v>
      </c>
      <c r="G12" s="15"/>
      <c r="H12" s="21"/>
      <c r="I12" s="27">
        <v>7</v>
      </c>
      <c r="J12" s="25" t="s">
        <v>6</v>
      </c>
      <c r="K12" s="15"/>
      <c r="L12" s="28"/>
      <c r="M12" s="29"/>
      <c r="N12" s="30" t="s">
        <v>7</v>
      </c>
      <c r="O12" s="30" t="s">
        <v>368</v>
      </c>
      <c r="P12" s="30" t="s">
        <v>7</v>
      </c>
      <c r="Q12" s="30" t="s">
        <v>368</v>
      </c>
      <c r="R12" s="30" t="s">
        <v>7</v>
      </c>
      <c r="S12" s="30" t="s">
        <v>368</v>
      </c>
      <c r="T12" s="922">
        <v>2026</v>
      </c>
      <c r="U12" s="923"/>
      <c r="V12" s="924" t="s">
        <v>87</v>
      </c>
      <c r="W12" s="925"/>
      <c r="X12" s="15"/>
      <c r="Y12" s="21"/>
      <c r="Z12" s="27">
        <v>7</v>
      </c>
      <c r="AA12" s="25" t="s">
        <v>6</v>
      </c>
      <c r="AB12" s="15"/>
      <c r="AC12" s="21"/>
      <c r="AD12" s="27">
        <v>35</v>
      </c>
      <c r="AE12" s="25" t="s">
        <v>6</v>
      </c>
      <c r="AF12" s="18"/>
      <c r="AG12" s="15"/>
      <c r="AH12" s="15"/>
      <c r="AI12" s="15"/>
      <c r="AJ12" s="15"/>
      <c r="AK12" s="15"/>
      <c r="AL12" s="15"/>
      <c r="AM12" s="15"/>
      <c r="AN12" s="15"/>
      <c r="AO12" s="15"/>
      <c r="AP12" s="15"/>
      <c r="AQ12" s="15"/>
      <c r="AR12" s="15"/>
      <c r="AS12" s="15"/>
      <c r="AT12" s="15"/>
      <c r="AU12" s="15"/>
      <c r="AV12" s="15"/>
      <c r="AW12" s="15"/>
      <c r="AX12" s="15"/>
      <c r="AY12" s="15"/>
      <c r="AZ12" s="15"/>
    </row>
    <row r="13" spans="1:68" ht="18" customHeight="1" x14ac:dyDescent="0.25">
      <c r="A13" s="15"/>
      <c r="B13" s="15"/>
      <c r="C13" s="14"/>
      <c r="D13" s="21"/>
      <c r="E13" s="31">
        <v>550</v>
      </c>
      <c r="F13" s="25" t="s">
        <v>6</v>
      </c>
      <c r="G13" s="15"/>
      <c r="H13" s="21"/>
      <c r="I13" s="32">
        <v>6</v>
      </c>
      <c r="J13" s="25" t="s">
        <v>6</v>
      </c>
      <c r="K13" s="15"/>
      <c r="L13" s="864" t="s">
        <v>9</v>
      </c>
      <c r="M13" s="865"/>
      <c r="N13" s="913">
        <v>0</v>
      </c>
      <c r="O13" s="913">
        <v>0</v>
      </c>
      <c r="P13" s="913">
        <v>0</v>
      </c>
      <c r="Q13" s="913">
        <v>0</v>
      </c>
      <c r="R13" s="913">
        <v>0</v>
      </c>
      <c r="S13" s="913">
        <v>0</v>
      </c>
      <c r="T13" s="831">
        <v>0</v>
      </c>
      <c r="U13" s="832"/>
      <c r="V13" s="876">
        <f>Rates!E42</f>
        <v>1</v>
      </c>
      <c r="W13" s="877"/>
      <c r="X13" s="15"/>
      <c r="Y13" s="21"/>
      <c r="Z13" s="31">
        <v>6</v>
      </c>
      <c r="AA13" s="25" t="s">
        <v>6</v>
      </c>
      <c r="AB13" s="15"/>
      <c r="AC13" s="21"/>
      <c r="AD13" s="31">
        <v>30</v>
      </c>
      <c r="AE13" s="25" t="s">
        <v>6</v>
      </c>
      <c r="AF13" s="18"/>
      <c r="AG13" s="15"/>
      <c r="AH13" s="15"/>
      <c r="AI13" s="15"/>
      <c r="AJ13" s="15"/>
      <c r="AK13" s="15"/>
      <c r="AL13" s="15"/>
      <c r="AM13" s="15"/>
      <c r="AN13" s="15"/>
      <c r="AO13" s="15"/>
      <c r="AP13" s="15"/>
      <c r="AQ13" s="15"/>
      <c r="AR13" s="15"/>
      <c r="AS13" s="15"/>
      <c r="AT13" s="15"/>
      <c r="AU13" s="15"/>
      <c r="AV13" s="15"/>
      <c r="AW13" s="15"/>
      <c r="AX13" s="15"/>
      <c r="AY13" s="15"/>
      <c r="AZ13" s="15"/>
    </row>
    <row r="14" spans="1:68" ht="18" customHeight="1" x14ac:dyDescent="0.25">
      <c r="A14" s="15"/>
      <c r="B14" s="15"/>
      <c r="C14" s="14"/>
      <c r="D14" s="21"/>
      <c r="E14" s="33">
        <v>450</v>
      </c>
      <c r="F14" s="25" t="s">
        <v>6</v>
      </c>
      <c r="G14" s="15"/>
      <c r="H14" s="21"/>
      <c r="I14" s="34">
        <v>5</v>
      </c>
      <c r="J14" s="25" t="s">
        <v>6</v>
      </c>
      <c r="K14" s="15"/>
      <c r="L14" s="866"/>
      <c r="M14" s="867"/>
      <c r="N14" s="914"/>
      <c r="O14" s="914"/>
      <c r="P14" s="914"/>
      <c r="Q14" s="914"/>
      <c r="R14" s="914"/>
      <c r="S14" s="914"/>
      <c r="T14" s="833"/>
      <c r="U14" s="834"/>
      <c r="V14" s="878"/>
      <c r="W14" s="879"/>
      <c r="X14" s="15"/>
      <c r="Y14" s="21"/>
      <c r="Z14" s="33">
        <v>5</v>
      </c>
      <c r="AA14" s="25" t="s">
        <v>6</v>
      </c>
      <c r="AB14" s="15"/>
      <c r="AC14" s="21"/>
      <c r="AD14" s="33">
        <v>25</v>
      </c>
      <c r="AE14" s="25" t="s">
        <v>6</v>
      </c>
      <c r="AF14" s="18"/>
      <c r="AG14" s="15"/>
      <c r="AH14" s="15"/>
      <c r="AI14" s="15"/>
      <c r="AJ14" s="15"/>
      <c r="AK14" s="15"/>
      <c r="AL14" s="15"/>
      <c r="AM14" s="15"/>
      <c r="AN14" s="15"/>
      <c r="AO14" s="15"/>
      <c r="AP14" s="15"/>
      <c r="AQ14" s="15"/>
      <c r="AR14" s="15"/>
      <c r="AS14" s="15"/>
      <c r="AT14" s="15"/>
      <c r="AU14" s="15"/>
      <c r="AV14" s="15"/>
      <c r="AW14" s="15"/>
      <c r="AX14" s="15"/>
      <c r="AY14" s="15"/>
      <c r="AZ14" s="15"/>
    </row>
    <row r="15" spans="1:68" ht="18" customHeight="1" x14ac:dyDescent="0.25">
      <c r="A15" s="15"/>
      <c r="B15" s="15"/>
      <c r="C15" s="14"/>
      <c r="D15" s="21"/>
      <c r="E15" s="33">
        <v>350</v>
      </c>
      <c r="F15" s="25" t="s">
        <v>6</v>
      </c>
      <c r="G15" s="15"/>
      <c r="H15" s="21"/>
      <c r="I15" s="34">
        <v>4</v>
      </c>
      <c r="J15" s="25" t="s">
        <v>6</v>
      </c>
      <c r="K15" s="15"/>
      <c r="L15" s="868"/>
      <c r="M15" s="869"/>
      <c r="N15" s="915"/>
      <c r="O15" s="915"/>
      <c r="P15" s="915"/>
      <c r="Q15" s="915"/>
      <c r="R15" s="915"/>
      <c r="S15" s="915"/>
      <c r="T15" s="835"/>
      <c r="U15" s="836"/>
      <c r="V15" s="880"/>
      <c r="W15" s="881"/>
      <c r="X15" s="15"/>
      <c r="Y15" s="21"/>
      <c r="Z15" s="33">
        <v>4</v>
      </c>
      <c r="AA15" s="25" t="s">
        <v>6</v>
      </c>
      <c r="AB15" s="15"/>
      <c r="AC15" s="21"/>
      <c r="AD15" s="33">
        <v>20</v>
      </c>
      <c r="AE15" s="25" t="s">
        <v>6</v>
      </c>
      <c r="AF15" s="18"/>
      <c r="AG15" s="15"/>
      <c r="AH15" s="15"/>
      <c r="AI15" s="15"/>
      <c r="AJ15" s="15"/>
      <c r="AK15" s="15"/>
      <c r="AL15" s="15"/>
      <c r="AM15" s="15"/>
      <c r="AN15" s="15"/>
      <c r="AO15" s="15"/>
      <c r="AP15" s="15"/>
      <c r="AQ15" s="15"/>
      <c r="AR15" s="15"/>
      <c r="AS15" s="15"/>
      <c r="AT15" s="15"/>
      <c r="AU15" s="15"/>
      <c r="AV15" s="15"/>
      <c r="AW15" s="15"/>
      <c r="AX15" s="15"/>
      <c r="AY15" s="15"/>
      <c r="AZ15" s="15"/>
    </row>
    <row r="16" spans="1:68" ht="18.75" customHeight="1" thickBot="1" x14ac:dyDescent="0.3">
      <c r="A16" s="15"/>
      <c r="B16" s="15"/>
      <c r="C16" s="14"/>
      <c r="D16" s="21"/>
      <c r="E16" s="35">
        <v>250</v>
      </c>
      <c r="F16" s="25" t="s">
        <v>6</v>
      </c>
      <c r="G16" s="15"/>
      <c r="H16" s="21"/>
      <c r="I16" s="36">
        <v>3</v>
      </c>
      <c r="J16" s="25" t="s">
        <v>6</v>
      </c>
      <c r="K16" s="15"/>
      <c r="L16" s="916" t="s">
        <v>330</v>
      </c>
      <c r="M16" s="917"/>
      <c r="N16" s="861">
        <v>0</v>
      </c>
      <c r="O16" s="861">
        <v>0</v>
      </c>
      <c r="P16" s="861">
        <v>0</v>
      </c>
      <c r="Q16" s="861">
        <v>0</v>
      </c>
      <c r="R16" s="861">
        <v>0</v>
      </c>
      <c r="S16" s="861">
        <v>0</v>
      </c>
      <c r="T16" s="888">
        <v>0</v>
      </c>
      <c r="U16" s="889"/>
      <c r="V16" s="876">
        <f>Rates!F42</f>
        <v>1</v>
      </c>
      <c r="W16" s="877"/>
      <c r="X16" s="15"/>
      <c r="Y16" s="21"/>
      <c r="Z16" s="35">
        <v>3</v>
      </c>
      <c r="AA16" s="25" t="s">
        <v>6</v>
      </c>
      <c r="AB16" s="15"/>
      <c r="AC16" s="21"/>
      <c r="AD16" s="35">
        <v>15</v>
      </c>
      <c r="AE16" s="25" t="s">
        <v>6</v>
      </c>
      <c r="AF16" s="18"/>
      <c r="AG16" s="15"/>
      <c r="AH16" s="15"/>
      <c r="AI16" s="15"/>
      <c r="AJ16" s="15"/>
      <c r="AK16" s="15"/>
      <c r="AL16" s="15"/>
      <c r="AM16" s="15"/>
      <c r="AN16" s="15"/>
      <c r="AO16" s="15"/>
      <c r="AP16" s="15"/>
      <c r="AQ16" s="15"/>
      <c r="AR16" s="15"/>
      <c r="AS16" s="15"/>
      <c r="AT16" s="15"/>
      <c r="AU16" s="15"/>
      <c r="AV16" s="15"/>
      <c r="AW16" s="15"/>
      <c r="AX16" s="15"/>
      <c r="AY16" s="15"/>
      <c r="AZ16" s="15"/>
    </row>
    <row r="17" spans="1:68" ht="18" customHeight="1" x14ac:dyDescent="0.25">
      <c r="A17" s="15"/>
      <c r="B17" s="15"/>
      <c r="C17" s="14"/>
      <c r="D17" s="21"/>
      <c r="E17" s="37">
        <v>150</v>
      </c>
      <c r="F17" s="25" t="s">
        <v>6</v>
      </c>
      <c r="G17" s="15"/>
      <c r="H17" s="21"/>
      <c r="I17" s="37">
        <v>2</v>
      </c>
      <c r="J17" s="25" t="s">
        <v>6</v>
      </c>
      <c r="K17" s="15"/>
      <c r="L17" s="918"/>
      <c r="M17" s="919"/>
      <c r="N17" s="862"/>
      <c r="O17" s="862"/>
      <c r="P17" s="862"/>
      <c r="Q17" s="862"/>
      <c r="R17" s="862"/>
      <c r="S17" s="862"/>
      <c r="T17" s="890"/>
      <c r="U17" s="891"/>
      <c r="V17" s="878"/>
      <c r="W17" s="879"/>
      <c r="X17" s="15"/>
      <c r="Y17" s="21"/>
      <c r="Z17" s="37">
        <v>2</v>
      </c>
      <c r="AA17" s="25" t="s">
        <v>6</v>
      </c>
      <c r="AB17" s="15"/>
      <c r="AC17" s="21"/>
      <c r="AD17" s="37">
        <v>10</v>
      </c>
      <c r="AE17" s="25" t="s">
        <v>6</v>
      </c>
      <c r="AF17" s="18"/>
      <c r="AG17" s="15"/>
      <c r="AH17" s="15"/>
      <c r="AI17" s="15"/>
      <c r="AJ17" s="15"/>
      <c r="AK17" s="15"/>
      <c r="AL17" s="15"/>
      <c r="AM17" s="15"/>
      <c r="AN17" s="15"/>
      <c r="AO17" s="15"/>
      <c r="AP17" s="15"/>
      <c r="AQ17" s="15"/>
      <c r="AR17" s="15"/>
      <c r="AS17" s="15"/>
      <c r="AT17" s="15"/>
      <c r="AU17" s="15"/>
      <c r="AV17" s="15"/>
      <c r="AW17" s="15"/>
      <c r="AX17" s="15"/>
      <c r="AY17" s="15"/>
      <c r="AZ17" s="15"/>
    </row>
    <row r="18" spans="1:68" ht="18.75" customHeight="1" thickBot="1" x14ac:dyDescent="0.3">
      <c r="A18" s="15"/>
      <c r="B18" s="15"/>
      <c r="C18" s="14"/>
      <c r="D18" s="21"/>
      <c r="E18" s="38">
        <v>50</v>
      </c>
      <c r="F18" s="25" t="s">
        <v>6</v>
      </c>
      <c r="G18" s="15"/>
      <c r="H18" s="21"/>
      <c r="I18" s="38">
        <v>1</v>
      </c>
      <c r="J18" s="25" t="s">
        <v>6</v>
      </c>
      <c r="K18" s="15"/>
      <c r="L18" s="920"/>
      <c r="M18" s="921"/>
      <c r="N18" s="863"/>
      <c r="O18" s="863"/>
      <c r="P18" s="863"/>
      <c r="Q18" s="863"/>
      <c r="R18" s="863"/>
      <c r="S18" s="863"/>
      <c r="T18" s="892"/>
      <c r="U18" s="893"/>
      <c r="V18" s="880"/>
      <c r="W18" s="881"/>
      <c r="X18" s="39"/>
      <c r="Y18" s="21"/>
      <c r="Z18" s="38">
        <v>1</v>
      </c>
      <c r="AA18" s="25" t="s">
        <v>6</v>
      </c>
      <c r="AB18" s="15"/>
      <c r="AC18" s="21"/>
      <c r="AD18" s="38">
        <v>5</v>
      </c>
      <c r="AE18" s="25" t="s">
        <v>6</v>
      </c>
      <c r="AF18" s="18"/>
      <c r="AG18" s="15"/>
      <c r="AH18" s="15"/>
      <c r="AI18" s="15"/>
      <c r="AJ18" s="15"/>
      <c r="AK18" s="15"/>
      <c r="AL18" s="15"/>
      <c r="AM18" s="15"/>
      <c r="AN18" s="15"/>
      <c r="AO18" s="15"/>
      <c r="AP18" s="15"/>
      <c r="AQ18" s="15"/>
      <c r="AR18" s="15"/>
      <c r="AS18" s="15"/>
      <c r="AT18" s="15"/>
      <c r="AU18" s="15"/>
      <c r="AV18" s="15"/>
      <c r="AW18" s="15"/>
      <c r="AX18" s="15"/>
      <c r="AY18" s="15"/>
      <c r="AZ18" s="15"/>
    </row>
    <row r="19" spans="1:68" ht="16.5" customHeight="1" thickBot="1" x14ac:dyDescent="0.3">
      <c r="A19" s="15"/>
      <c r="B19" s="15"/>
      <c r="C19" s="14"/>
      <c r="D19" s="40" t="s">
        <v>10</v>
      </c>
      <c r="E19" s="41">
        <v>0</v>
      </c>
      <c r="F19" s="42" t="s">
        <v>6</v>
      </c>
      <c r="G19" s="15"/>
      <c r="H19" s="43" t="s">
        <v>10</v>
      </c>
      <c r="I19" s="41">
        <v>0</v>
      </c>
      <c r="J19" s="42" t="s">
        <v>6</v>
      </c>
      <c r="K19" s="15"/>
      <c r="L19" s="864" t="s">
        <v>216</v>
      </c>
      <c r="M19" s="865"/>
      <c r="N19" s="913">
        <v>0</v>
      </c>
      <c r="O19" s="913">
        <v>0</v>
      </c>
      <c r="P19" s="913">
        <v>0</v>
      </c>
      <c r="Q19" s="913">
        <v>0</v>
      </c>
      <c r="R19" s="913">
        <v>1</v>
      </c>
      <c r="S19" s="913">
        <v>0</v>
      </c>
      <c r="T19" s="831">
        <v>0</v>
      </c>
      <c r="U19" s="832"/>
      <c r="V19" s="876">
        <f>Rates!G42</f>
        <v>4</v>
      </c>
      <c r="W19" s="877"/>
      <c r="X19" s="15"/>
      <c r="Y19" s="44" t="s">
        <v>10</v>
      </c>
      <c r="Z19" s="41">
        <v>0</v>
      </c>
      <c r="AA19" s="42" t="s">
        <v>6</v>
      </c>
      <c r="AB19" s="15"/>
      <c r="AC19" s="44" t="s">
        <v>10</v>
      </c>
      <c r="AD19" s="41">
        <v>0</v>
      </c>
      <c r="AE19" s="42" t="s">
        <v>6</v>
      </c>
      <c r="AF19" s="18"/>
      <c r="AG19" s="15"/>
      <c r="AH19" s="15"/>
      <c r="AI19" s="15"/>
      <c r="AJ19" s="15"/>
      <c r="AK19" s="15"/>
      <c r="AL19" s="15"/>
      <c r="AM19" s="15"/>
      <c r="AN19" s="15"/>
      <c r="AO19" s="15"/>
      <c r="AP19" s="15"/>
      <c r="AQ19" s="15"/>
      <c r="AR19" s="15"/>
      <c r="AS19" s="15"/>
      <c r="AT19" s="15"/>
      <c r="AU19" s="15"/>
      <c r="AV19" s="15"/>
      <c r="AW19" s="15"/>
      <c r="AX19" s="15"/>
      <c r="AY19" s="15"/>
      <c r="AZ19" s="15"/>
    </row>
    <row r="20" spans="1:68" ht="16.5" customHeight="1" x14ac:dyDescent="0.2">
      <c r="A20" s="15"/>
      <c r="B20" s="15"/>
      <c r="C20" s="14"/>
      <c r="D20" s="21"/>
      <c r="E20" s="45" t="s">
        <v>11</v>
      </c>
      <c r="F20" s="46"/>
      <c r="G20" s="15"/>
      <c r="H20" s="21"/>
      <c r="I20" s="45" t="s">
        <v>11</v>
      </c>
      <c r="J20" s="46"/>
      <c r="K20" s="15"/>
      <c r="L20" s="866"/>
      <c r="M20" s="867"/>
      <c r="N20" s="914"/>
      <c r="O20" s="914"/>
      <c r="P20" s="914"/>
      <c r="Q20" s="914"/>
      <c r="R20" s="914"/>
      <c r="S20" s="914"/>
      <c r="T20" s="833"/>
      <c r="U20" s="834"/>
      <c r="V20" s="878"/>
      <c r="W20" s="879"/>
      <c r="X20" s="15"/>
      <c r="Y20" s="21"/>
      <c r="Z20" s="45" t="s">
        <v>11</v>
      </c>
      <c r="AA20" s="46"/>
      <c r="AB20" s="15"/>
      <c r="AC20" s="21"/>
      <c r="AD20" s="45" t="s">
        <v>11</v>
      </c>
      <c r="AE20" s="46"/>
      <c r="AF20" s="18"/>
      <c r="AG20" s="15"/>
      <c r="AH20" s="15"/>
      <c r="AI20" s="15"/>
      <c r="AJ20" s="15"/>
      <c r="AK20" s="15"/>
      <c r="AL20" s="15"/>
      <c r="AM20" s="15"/>
      <c r="AN20" s="15"/>
      <c r="AO20" s="15"/>
      <c r="AP20" s="15"/>
      <c r="AQ20" s="15"/>
      <c r="AR20" s="15"/>
      <c r="AS20" s="15"/>
      <c r="AT20" s="15"/>
      <c r="AU20" s="15"/>
      <c r="AV20" s="15"/>
      <c r="AW20" s="15"/>
      <c r="AX20" s="15"/>
      <c r="AY20" s="15"/>
      <c r="AZ20" s="15"/>
    </row>
    <row r="21" spans="1:68" s="2" customFormat="1" ht="18" customHeight="1" x14ac:dyDescent="0.2">
      <c r="A21" s="15"/>
      <c r="B21" s="15"/>
      <c r="C21" s="14"/>
      <c r="D21" s="47"/>
      <c r="E21" s="48"/>
      <c r="F21" s="49"/>
      <c r="G21" s="15"/>
      <c r="H21" s="47"/>
      <c r="I21" s="48"/>
      <c r="J21" s="49"/>
      <c r="K21" s="15"/>
      <c r="L21" s="868"/>
      <c r="M21" s="869"/>
      <c r="N21" s="915"/>
      <c r="O21" s="915"/>
      <c r="P21" s="915"/>
      <c r="Q21" s="915"/>
      <c r="R21" s="915"/>
      <c r="S21" s="915"/>
      <c r="T21" s="835"/>
      <c r="U21" s="836"/>
      <c r="V21" s="880"/>
      <c r="W21" s="881"/>
      <c r="X21" s="15"/>
      <c r="Y21" s="47"/>
      <c r="Z21" s="48"/>
      <c r="AA21" s="49"/>
      <c r="AB21" s="15"/>
      <c r="AC21" s="47"/>
      <c r="AD21" s="48"/>
      <c r="AE21" s="49"/>
      <c r="AF21" s="18"/>
      <c r="AG21" s="15"/>
      <c r="AH21" s="15"/>
      <c r="AI21" s="15"/>
      <c r="AJ21" s="15"/>
      <c r="AK21" s="15"/>
      <c r="AL21" s="15"/>
      <c r="AM21" s="15"/>
      <c r="AN21" s="15"/>
      <c r="AO21" s="15"/>
      <c r="AP21" s="15"/>
      <c r="AQ21" s="15"/>
      <c r="AR21" s="15"/>
      <c r="AS21" s="15"/>
      <c r="AT21" s="15"/>
      <c r="AU21" s="15"/>
      <c r="AV21" s="15"/>
      <c r="AW21" s="15"/>
      <c r="AX21" s="15"/>
      <c r="AY21" s="15"/>
      <c r="AZ21" s="15"/>
      <c r="BA21" s="1"/>
      <c r="BB21" s="1"/>
      <c r="BC21" s="1"/>
      <c r="BD21" s="1"/>
      <c r="BE21" s="1"/>
      <c r="BF21" s="1"/>
      <c r="BG21" s="1"/>
      <c r="BH21" s="1"/>
      <c r="BI21" s="1"/>
      <c r="BJ21" s="1"/>
      <c r="BK21" s="1"/>
      <c r="BL21" s="1"/>
      <c r="BM21" s="1"/>
      <c r="BN21" s="1"/>
      <c r="BO21" s="1"/>
      <c r="BP21" s="1"/>
    </row>
    <row r="22" spans="1:68" s="2" customFormat="1" ht="13.5" customHeight="1" thickBot="1" x14ac:dyDescent="0.25">
      <c r="A22" s="15"/>
      <c r="B22" s="15"/>
      <c r="C22" s="14"/>
      <c r="D22" s="50"/>
      <c r="E22" s="51"/>
      <c r="F22" s="52"/>
      <c r="G22" s="15"/>
      <c r="H22" s="50"/>
      <c r="I22" s="51"/>
      <c r="J22" s="52"/>
      <c r="K22" s="15"/>
      <c r="L22" s="916" t="s">
        <v>331</v>
      </c>
      <c r="M22" s="917"/>
      <c r="N22" s="861">
        <v>0</v>
      </c>
      <c r="O22" s="861">
        <v>0</v>
      </c>
      <c r="P22" s="861">
        <v>0</v>
      </c>
      <c r="Q22" s="861">
        <v>0</v>
      </c>
      <c r="R22" s="861">
        <v>0</v>
      </c>
      <c r="S22" s="861">
        <v>0</v>
      </c>
      <c r="T22" s="901">
        <v>5</v>
      </c>
      <c r="U22" s="902"/>
      <c r="V22" s="876">
        <f>R22</f>
        <v>0</v>
      </c>
      <c r="W22" s="877"/>
      <c r="X22" s="15"/>
      <c r="Y22" s="50"/>
      <c r="Z22" s="51"/>
      <c r="AA22" s="52"/>
      <c r="AB22" s="15"/>
      <c r="AC22" s="50"/>
      <c r="AD22" s="51"/>
      <c r="AE22" s="52"/>
      <c r="AF22" s="18"/>
      <c r="AG22" s="15"/>
      <c r="AH22" s="15"/>
      <c r="AI22" s="15"/>
      <c r="AJ22" s="15"/>
      <c r="AK22" s="15"/>
      <c r="AL22" s="15"/>
      <c r="AM22" s="15"/>
      <c r="AN22" s="15"/>
      <c r="AO22" s="15"/>
      <c r="AP22" s="15"/>
      <c r="AQ22" s="15"/>
      <c r="AR22" s="15"/>
      <c r="AS22" s="15"/>
      <c r="AT22" s="15"/>
      <c r="AU22" s="15"/>
      <c r="AV22" s="15"/>
      <c r="AW22" s="15"/>
      <c r="AX22" s="15"/>
      <c r="AY22" s="15"/>
      <c r="AZ22" s="15"/>
      <c r="BA22" s="1"/>
      <c r="BB22" s="1"/>
      <c r="BC22" s="1"/>
      <c r="BD22" s="1"/>
      <c r="BE22" s="1"/>
      <c r="BF22" s="1"/>
      <c r="BG22" s="1"/>
      <c r="BH22" s="1"/>
      <c r="BI22" s="1"/>
      <c r="BJ22" s="1"/>
      <c r="BK22" s="1"/>
      <c r="BL22" s="1"/>
      <c r="BM22" s="1"/>
      <c r="BN22" s="1"/>
      <c r="BO22" s="1"/>
      <c r="BP22" s="1"/>
    </row>
    <row r="23" spans="1:68" ht="20.45" customHeight="1" thickBot="1" x14ac:dyDescent="0.25">
      <c r="A23" s="15"/>
      <c r="B23" s="15"/>
      <c r="C23" s="14"/>
      <c r="D23" s="15"/>
      <c r="E23" s="15"/>
      <c r="F23" s="15"/>
      <c r="G23" s="15"/>
      <c r="H23" s="15"/>
      <c r="I23" s="15"/>
      <c r="J23" s="15"/>
      <c r="K23" s="16"/>
      <c r="L23" s="918"/>
      <c r="M23" s="919"/>
      <c r="N23" s="862"/>
      <c r="O23" s="862"/>
      <c r="P23" s="862"/>
      <c r="Q23" s="862"/>
      <c r="R23" s="862"/>
      <c r="S23" s="862"/>
      <c r="T23" s="903"/>
      <c r="U23" s="904"/>
      <c r="V23" s="878"/>
      <c r="W23" s="879"/>
      <c r="X23" s="53"/>
      <c r="Y23" s="15"/>
      <c r="Z23" s="15"/>
      <c r="AA23" s="15"/>
      <c r="AB23" s="15"/>
      <c r="AC23" s="54"/>
      <c r="AD23" s="55"/>
      <c r="AE23" s="56"/>
      <c r="AF23" s="18"/>
      <c r="AG23" s="15"/>
      <c r="AH23" s="15"/>
      <c r="AI23" s="15"/>
      <c r="AJ23" s="15"/>
      <c r="AK23" s="15"/>
      <c r="AL23" s="15"/>
      <c r="AM23" s="15"/>
      <c r="AN23" s="15"/>
      <c r="AO23" s="15"/>
      <c r="AP23" s="15"/>
      <c r="AQ23" s="15"/>
      <c r="AR23" s="15"/>
      <c r="AS23" s="15"/>
      <c r="AT23" s="15"/>
      <c r="AU23" s="15"/>
      <c r="AV23" s="15"/>
      <c r="AW23" s="15"/>
      <c r="AX23" s="15"/>
      <c r="AY23" s="15"/>
      <c r="AZ23" s="15"/>
    </row>
    <row r="24" spans="1:68" ht="13.5" customHeight="1" thickBot="1" x14ac:dyDescent="0.25">
      <c r="A24" s="15"/>
      <c r="B24" s="15"/>
      <c r="C24" s="14"/>
      <c r="D24" s="15"/>
      <c r="E24" s="15"/>
      <c r="F24" s="15"/>
      <c r="G24" s="15"/>
      <c r="H24" s="15"/>
      <c r="I24" s="15"/>
      <c r="J24" s="15"/>
      <c r="K24" s="16"/>
      <c r="L24" s="920"/>
      <c r="M24" s="921"/>
      <c r="N24" s="863"/>
      <c r="O24" s="863"/>
      <c r="P24" s="863"/>
      <c r="Q24" s="863"/>
      <c r="R24" s="863"/>
      <c r="S24" s="863"/>
      <c r="T24" s="905"/>
      <c r="U24" s="906"/>
      <c r="V24" s="880"/>
      <c r="W24" s="881"/>
      <c r="X24" s="53"/>
      <c r="Y24" s="15"/>
      <c r="Z24" s="15"/>
      <c r="AA24" s="15"/>
      <c r="AB24" s="15"/>
      <c r="AC24" s="15"/>
      <c r="AD24" s="15"/>
      <c r="AE24" s="15"/>
      <c r="AF24" s="18"/>
      <c r="AG24" s="15"/>
      <c r="AH24" s="15"/>
      <c r="AI24" s="15"/>
      <c r="AJ24" s="15"/>
      <c r="AK24" s="15"/>
      <c r="AL24" s="15"/>
      <c r="AM24" s="15"/>
      <c r="AN24" s="15"/>
      <c r="AO24" s="15"/>
      <c r="AP24" s="15"/>
      <c r="AQ24" s="15"/>
      <c r="AR24" s="15"/>
      <c r="AS24" s="15"/>
      <c r="AT24" s="15"/>
      <c r="AU24" s="15"/>
      <c r="AV24" s="15"/>
      <c r="AW24" s="15"/>
      <c r="AX24" s="15"/>
      <c r="AY24" s="15"/>
      <c r="AZ24" s="15"/>
    </row>
    <row r="25" spans="1:68" ht="21.75" customHeight="1" thickBot="1" x14ac:dyDescent="0.25">
      <c r="A25" s="15"/>
      <c r="B25" s="15"/>
      <c r="C25" s="14"/>
      <c r="D25" s="882" t="s">
        <v>12</v>
      </c>
      <c r="E25" s="883"/>
      <c r="F25" s="884"/>
      <c r="G25" s="15"/>
      <c r="H25" s="882" t="s">
        <v>13</v>
      </c>
      <c r="I25" s="883"/>
      <c r="J25" s="884"/>
      <c r="K25" s="57"/>
      <c r="L25" s="907" t="s">
        <v>382</v>
      </c>
      <c r="M25" s="908"/>
      <c r="N25" s="913">
        <v>0</v>
      </c>
      <c r="O25" s="913">
        <v>0</v>
      </c>
      <c r="P25" s="913">
        <v>0</v>
      </c>
      <c r="Q25" s="913">
        <v>0</v>
      </c>
      <c r="R25" s="858">
        <v>1</v>
      </c>
      <c r="S25" s="913">
        <v>0</v>
      </c>
      <c r="T25" s="831">
        <v>10</v>
      </c>
      <c r="U25" s="832"/>
      <c r="V25" s="876">
        <f>R25</f>
        <v>1</v>
      </c>
      <c r="W25" s="877"/>
      <c r="X25" s="58"/>
      <c r="Y25" s="882" t="s">
        <v>14</v>
      </c>
      <c r="Z25" s="883"/>
      <c r="AA25" s="884"/>
      <c r="AB25" s="15"/>
      <c r="AC25" s="885" t="s">
        <v>220</v>
      </c>
      <c r="AD25" s="886"/>
      <c r="AE25" s="887"/>
      <c r="AF25" s="18"/>
      <c r="AG25" s="15"/>
      <c r="AH25" s="15"/>
      <c r="AI25" s="15"/>
      <c r="AJ25" s="15"/>
      <c r="AK25" s="15"/>
      <c r="AL25" s="15"/>
      <c r="AM25" s="15"/>
      <c r="AN25" s="15"/>
      <c r="AO25" s="15"/>
      <c r="AP25" s="15"/>
      <c r="AQ25" s="15"/>
      <c r="AR25" s="15"/>
      <c r="AS25" s="15"/>
      <c r="AT25" s="15"/>
      <c r="AU25" s="15"/>
      <c r="AV25" s="15"/>
      <c r="AW25" s="15"/>
      <c r="AX25" s="15"/>
      <c r="AY25" s="15"/>
      <c r="AZ25" s="15"/>
    </row>
    <row r="26" spans="1:68" ht="21" customHeight="1" thickBot="1" x14ac:dyDescent="0.35">
      <c r="A26" s="15"/>
      <c r="B26" s="15"/>
      <c r="C26" s="14"/>
      <c r="D26" s="894"/>
      <c r="E26" s="894"/>
      <c r="F26" s="895"/>
      <c r="G26" s="15"/>
      <c r="H26" s="896">
        <v>2</v>
      </c>
      <c r="I26" s="896"/>
      <c r="J26" s="897"/>
      <c r="K26" s="15"/>
      <c r="L26" s="909"/>
      <c r="M26" s="910"/>
      <c r="N26" s="914"/>
      <c r="O26" s="914"/>
      <c r="P26" s="914"/>
      <c r="Q26" s="914"/>
      <c r="R26" s="859"/>
      <c r="S26" s="914"/>
      <c r="T26" s="833"/>
      <c r="U26" s="834"/>
      <c r="V26" s="878"/>
      <c r="W26" s="879"/>
      <c r="X26" s="58"/>
      <c r="Y26" s="898">
        <v>1</v>
      </c>
      <c r="Z26" s="899"/>
      <c r="AA26" s="900"/>
      <c r="AB26" s="15"/>
      <c r="AC26" s="896">
        <v>2</v>
      </c>
      <c r="AD26" s="896"/>
      <c r="AE26" s="897"/>
      <c r="AF26" s="18"/>
      <c r="AG26" s="15"/>
      <c r="AH26" s="15"/>
      <c r="AI26" s="15"/>
      <c r="AJ26" s="15"/>
      <c r="AK26" s="15"/>
      <c r="AL26" s="15"/>
      <c r="AM26" s="15"/>
      <c r="AN26" s="15"/>
      <c r="AO26" s="15"/>
      <c r="AP26" s="15"/>
      <c r="AQ26" s="15"/>
      <c r="AR26" s="15"/>
      <c r="AS26" s="15"/>
      <c r="AT26" s="15"/>
      <c r="AU26" s="15"/>
      <c r="AV26" s="15"/>
      <c r="AW26" s="15"/>
      <c r="AX26" s="15"/>
      <c r="AY26" s="15"/>
      <c r="AZ26" s="15"/>
    </row>
    <row r="27" spans="1:68" ht="9.6" customHeight="1" thickBot="1" x14ac:dyDescent="0.3">
      <c r="A27" s="15"/>
      <c r="B27" s="15"/>
      <c r="C27" s="14"/>
      <c r="D27" s="21"/>
      <c r="E27" s="22"/>
      <c r="F27" s="23"/>
      <c r="G27" s="15"/>
      <c r="H27" s="21"/>
      <c r="I27" s="22"/>
      <c r="J27" s="23"/>
      <c r="K27" s="15"/>
      <c r="L27" s="911"/>
      <c r="M27" s="912"/>
      <c r="N27" s="915"/>
      <c r="O27" s="915"/>
      <c r="P27" s="915"/>
      <c r="Q27" s="915"/>
      <c r="R27" s="860"/>
      <c r="S27" s="915"/>
      <c r="T27" s="835"/>
      <c r="U27" s="836"/>
      <c r="V27" s="880"/>
      <c r="W27" s="881"/>
      <c r="X27" s="58"/>
      <c r="Y27" s="21"/>
      <c r="Z27" s="59"/>
      <c r="AA27" s="23"/>
      <c r="AB27" s="15"/>
      <c r="AC27" s="21"/>
      <c r="AD27" s="59"/>
      <c r="AE27" s="23"/>
      <c r="AF27" s="18"/>
      <c r="AG27" s="15"/>
      <c r="AH27" s="15"/>
      <c r="AI27" s="15"/>
      <c r="AJ27" s="15"/>
      <c r="AK27" s="15"/>
      <c r="AL27" s="15"/>
      <c r="AM27" s="15"/>
      <c r="AN27" s="15"/>
      <c r="AO27" s="15"/>
      <c r="AP27" s="15"/>
      <c r="AQ27" s="15"/>
      <c r="AR27" s="15"/>
      <c r="AS27" s="15"/>
      <c r="AT27" s="15"/>
      <c r="AU27" s="15"/>
      <c r="AV27" s="15"/>
      <c r="AW27" s="15"/>
      <c r="AX27" s="15"/>
      <c r="AY27" s="15"/>
      <c r="AZ27" s="15"/>
    </row>
    <row r="28" spans="1:68" ht="18.75" customHeight="1" thickBot="1" x14ac:dyDescent="0.3">
      <c r="A28" s="15"/>
      <c r="B28" s="15"/>
      <c r="C28" s="14"/>
      <c r="D28" s="21"/>
      <c r="E28" s="24">
        <v>225</v>
      </c>
      <c r="F28" s="25" t="s">
        <v>6</v>
      </c>
      <c r="G28" s="15"/>
      <c r="H28" s="21"/>
      <c r="I28" s="24">
        <v>225</v>
      </c>
      <c r="J28" s="25" t="s">
        <v>6</v>
      </c>
      <c r="K28" s="15"/>
      <c r="L28" s="870" t="s">
        <v>337</v>
      </c>
      <c r="M28" s="871"/>
      <c r="N28" s="861">
        <v>1</v>
      </c>
      <c r="O28" s="861">
        <v>0</v>
      </c>
      <c r="P28" s="861">
        <v>0</v>
      </c>
      <c r="Q28" s="861">
        <v>0</v>
      </c>
      <c r="R28" s="861">
        <v>3</v>
      </c>
      <c r="S28" s="861">
        <v>0</v>
      </c>
      <c r="T28" s="888">
        <v>11</v>
      </c>
      <c r="U28" s="889"/>
      <c r="V28" s="876">
        <f>R28</f>
        <v>3</v>
      </c>
      <c r="W28" s="877"/>
      <c r="X28" s="58"/>
      <c r="Y28" s="60"/>
      <c r="Z28" s="61">
        <v>9</v>
      </c>
      <c r="AA28" s="62" t="s">
        <v>6</v>
      </c>
      <c r="AB28" s="15"/>
      <c r="AC28" s="60"/>
      <c r="AD28" s="61">
        <v>45</v>
      </c>
      <c r="AE28" s="62" t="s">
        <v>6</v>
      </c>
      <c r="AF28" s="18"/>
      <c r="AG28" s="15"/>
      <c r="AH28" s="15"/>
      <c r="AI28" s="15"/>
      <c r="AJ28" s="15"/>
      <c r="AK28" s="15"/>
      <c r="AL28" s="15"/>
      <c r="AM28" s="15"/>
      <c r="AN28" s="15"/>
      <c r="AO28" s="15"/>
      <c r="AP28" s="15"/>
      <c r="AQ28" s="15"/>
      <c r="AR28" s="15"/>
      <c r="AS28" s="15"/>
      <c r="AT28" s="15"/>
      <c r="AU28" s="15"/>
      <c r="AV28" s="15"/>
      <c r="AW28" s="15"/>
      <c r="AX28" s="15"/>
      <c r="AY28" s="15"/>
      <c r="AZ28" s="15"/>
    </row>
    <row r="29" spans="1:68" ht="19.5" customHeight="1" x14ac:dyDescent="0.25">
      <c r="A29" s="15"/>
      <c r="B29" s="15"/>
      <c r="C29" s="14"/>
      <c r="D29" s="21"/>
      <c r="E29" s="26">
        <v>200</v>
      </c>
      <c r="F29" s="25" t="s">
        <v>6</v>
      </c>
      <c r="G29" s="15"/>
      <c r="H29" s="21"/>
      <c r="I29" s="26">
        <v>200</v>
      </c>
      <c r="J29" s="25" t="s">
        <v>6</v>
      </c>
      <c r="K29" s="15"/>
      <c r="L29" s="872"/>
      <c r="M29" s="873"/>
      <c r="N29" s="862"/>
      <c r="O29" s="862"/>
      <c r="P29" s="862"/>
      <c r="Q29" s="862"/>
      <c r="R29" s="862"/>
      <c r="S29" s="862"/>
      <c r="T29" s="890"/>
      <c r="U29" s="891"/>
      <c r="V29" s="878"/>
      <c r="W29" s="879"/>
      <c r="X29" s="58"/>
      <c r="Y29" s="21"/>
      <c r="Z29" s="24">
        <v>8</v>
      </c>
      <c r="AA29" s="25" t="s">
        <v>6</v>
      </c>
      <c r="AB29" s="15"/>
      <c r="AC29" s="21"/>
      <c r="AD29" s="24">
        <v>40</v>
      </c>
      <c r="AE29" s="25" t="s">
        <v>6</v>
      </c>
      <c r="AF29" s="18"/>
      <c r="AG29" s="15"/>
      <c r="AH29" s="15"/>
      <c r="AI29" s="15"/>
      <c r="AJ29" s="15"/>
      <c r="AK29" s="15"/>
      <c r="AL29" s="15"/>
      <c r="AM29" s="15"/>
      <c r="AN29" s="15"/>
      <c r="AO29" s="15"/>
      <c r="AP29" s="15"/>
      <c r="AQ29" s="15"/>
      <c r="AR29" s="15"/>
      <c r="AS29" s="15"/>
      <c r="AT29" s="15"/>
      <c r="AU29" s="15"/>
      <c r="AV29" s="15"/>
      <c r="AW29" s="15"/>
      <c r="AX29" s="15"/>
      <c r="AY29" s="15"/>
      <c r="AZ29" s="15"/>
    </row>
    <row r="30" spans="1:68" ht="21" customHeight="1" thickBot="1" x14ac:dyDescent="0.3">
      <c r="A30" s="15"/>
      <c r="B30" s="15"/>
      <c r="C30" s="14"/>
      <c r="D30" s="21"/>
      <c r="E30" s="27">
        <v>175</v>
      </c>
      <c r="F30" s="25" t="s">
        <v>6</v>
      </c>
      <c r="G30" s="15"/>
      <c r="H30" s="21"/>
      <c r="I30" s="27">
        <v>175</v>
      </c>
      <c r="J30" s="25" t="s">
        <v>6</v>
      </c>
      <c r="K30" s="15"/>
      <c r="L30" s="874"/>
      <c r="M30" s="875"/>
      <c r="N30" s="863"/>
      <c r="O30" s="863"/>
      <c r="P30" s="863"/>
      <c r="Q30" s="863"/>
      <c r="R30" s="863"/>
      <c r="S30" s="863"/>
      <c r="T30" s="892"/>
      <c r="U30" s="893"/>
      <c r="V30" s="880"/>
      <c r="W30" s="881"/>
      <c r="X30" s="58"/>
      <c r="Y30" s="21"/>
      <c r="Z30" s="27">
        <v>7</v>
      </c>
      <c r="AA30" s="25" t="s">
        <v>6</v>
      </c>
      <c r="AB30" s="15"/>
      <c r="AC30" s="21"/>
      <c r="AD30" s="27">
        <v>35</v>
      </c>
      <c r="AE30" s="25" t="s">
        <v>6</v>
      </c>
      <c r="AF30" s="18"/>
      <c r="AG30" s="15"/>
      <c r="AH30" s="15"/>
      <c r="AI30" s="15"/>
      <c r="AJ30" s="15"/>
      <c r="AK30" s="15"/>
      <c r="AL30" s="15"/>
      <c r="AM30" s="15"/>
      <c r="AN30" s="15"/>
      <c r="AO30" s="15"/>
      <c r="AP30" s="15"/>
      <c r="AQ30" s="15"/>
      <c r="AR30" s="15"/>
      <c r="AS30" s="15"/>
      <c r="AT30" s="15"/>
      <c r="AU30" s="15"/>
      <c r="AV30" s="15"/>
      <c r="AW30" s="15"/>
      <c r="AX30" s="15"/>
      <c r="AY30" s="15"/>
      <c r="AZ30" s="15"/>
    </row>
    <row r="31" spans="1:68" ht="21" customHeight="1" thickBot="1" x14ac:dyDescent="0.3">
      <c r="A31" s="15"/>
      <c r="B31" s="15"/>
      <c r="C31" s="14"/>
      <c r="D31" s="21"/>
      <c r="E31" s="31">
        <v>150</v>
      </c>
      <c r="F31" s="25" t="s">
        <v>6</v>
      </c>
      <c r="G31" s="15"/>
      <c r="H31" s="21"/>
      <c r="I31" s="27">
        <v>150</v>
      </c>
      <c r="J31" s="25" t="s">
        <v>6</v>
      </c>
      <c r="K31" s="15"/>
      <c r="L31" s="864" t="s">
        <v>15</v>
      </c>
      <c r="M31" s="865"/>
      <c r="N31" s="858">
        <v>0</v>
      </c>
      <c r="O31" s="858">
        <v>0</v>
      </c>
      <c r="P31" s="858">
        <v>0</v>
      </c>
      <c r="Q31" s="858">
        <v>0</v>
      </c>
      <c r="R31" s="858">
        <v>2</v>
      </c>
      <c r="S31" s="858">
        <v>0</v>
      </c>
      <c r="T31" s="831">
        <v>3</v>
      </c>
      <c r="U31" s="832"/>
      <c r="V31" s="837">
        <f>R31</f>
        <v>2</v>
      </c>
      <c r="W31" s="838"/>
      <c r="X31" s="58"/>
      <c r="Y31" s="21"/>
      <c r="Z31" s="24">
        <v>6</v>
      </c>
      <c r="AA31" s="25" t="s">
        <v>6</v>
      </c>
      <c r="AB31" s="15"/>
      <c r="AC31" s="21"/>
      <c r="AD31" s="31">
        <v>30</v>
      </c>
      <c r="AE31" s="25" t="s">
        <v>6</v>
      </c>
      <c r="AF31" s="18"/>
      <c r="AG31" s="15"/>
      <c r="AH31" s="15"/>
      <c r="AI31" s="15"/>
      <c r="AJ31" s="15"/>
      <c r="AK31" s="15"/>
      <c r="AL31" s="15"/>
      <c r="AM31" s="15"/>
      <c r="AN31" s="15"/>
      <c r="AO31" s="15"/>
      <c r="AP31" s="15"/>
      <c r="AQ31" s="15"/>
      <c r="AR31" s="15"/>
      <c r="AS31" s="15"/>
      <c r="AT31" s="15"/>
      <c r="AU31" s="15"/>
      <c r="AV31" s="15"/>
      <c r="AW31" s="15"/>
      <c r="AX31" s="15"/>
      <c r="AY31" s="15"/>
      <c r="AZ31" s="15"/>
    </row>
    <row r="32" spans="1:68" ht="21" customHeight="1" thickBot="1" x14ac:dyDescent="0.3">
      <c r="A32" s="15"/>
      <c r="B32" s="15"/>
      <c r="C32" s="14"/>
      <c r="D32" s="21"/>
      <c r="E32" s="33">
        <v>125</v>
      </c>
      <c r="F32" s="25" t="s">
        <v>6</v>
      </c>
      <c r="G32" s="15"/>
      <c r="H32" s="21"/>
      <c r="I32" s="27">
        <v>125</v>
      </c>
      <c r="J32" s="25" t="s">
        <v>6</v>
      </c>
      <c r="K32" s="15"/>
      <c r="L32" s="866"/>
      <c r="M32" s="867"/>
      <c r="N32" s="859"/>
      <c r="O32" s="859"/>
      <c r="P32" s="859"/>
      <c r="Q32" s="859"/>
      <c r="R32" s="859"/>
      <c r="S32" s="859"/>
      <c r="T32" s="833"/>
      <c r="U32" s="834"/>
      <c r="V32" s="839"/>
      <c r="W32" s="840"/>
      <c r="X32" s="58"/>
      <c r="Y32" s="21"/>
      <c r="Z32" s="26">
        <v>5</v>
      </c>
      <c r="AA32" s="25" t="s">
        <v>6</v>
      </c>
      <c r="AB32" s="15"/>
      <c r="AC32" s="21"/>
      <c r="AD32" s="33">
        <v>25</v>
      </c>
      <c r="AE32" s="25" t="s">
        <v>6</v>
      </c>
      <c r="AF32" s="18"/>
      <c r="AG32" s="15"/>
      <c r="AH32" s="15"/>
      <c r="AI32" s="15"/>
      <c r="AJ32" s="15"/>
      <c r="AK32" s="15"/>
      <c r="AL32" s="15"/>
      <c r="AM32" s="15"/>
      <c r="AN32" s="15"/>
      <c r="AO32" s="15"/>
      <c r="AP32" s="15"/>
      <c r="AQ32" s="15"/>
      <c r="AR32" s="15"/>
      <c r="AS32" s="15"/>
      <c r="AT32" s="15"/>
      <c r="AU32" s="15"/>
      <c r="AV32" s="15"/>
      <c r="AW32" s="15"/>
      <c r="AX32" s="15"/>
      <c r="AY32" s="15"/>
      <c r="AZ32" s="15"/>
    </row>
    <row r="33" spans="1:68" ht="20.25" customHeight="1" thickBot="1" x14ac:dyDescent="0.3">
      <c r="A33" s="15"/>
      <c r="B33" s="15"/>
      <c r="C33" s="14"/>
      <c r="D33" s="21"/>
      <c r="E33" s="33">
        <v>100</v>
      </c>
      <c r="F33" s="25" t="s">
        <v>6</v>
      </c>
      <c r="G33" s="15"/>
      <c r="H33" s="21"/>
      <c r="I33" s="27">
        <v>100</v>
      </c>
      <c r="J33" s="25" t="s">
        <v>6</v>
      </c>
      <c r="K33" s="15"/>
      <c r="L33" s="868"/>
      <c r="M33" s="869"/>
      <c r="N33" s="860"/>
      <c r="O33" s="860"/>
      <c r="P33" s="860"/>
      <c r="Q33" s="860"/>
      <c r="R33" s="860"/>
      <c r="S33" s="860"/>
      <c r="T33" s="835"/>
      <c r="U33" s="836"/>
      <c r="V33" s="841"/>
      <c r="W33" s="842"/>
      <c r="X33" s="58"/>
      <c r="Y33" s="21"/>
      <c r="Z33" s="26">
        <v>4</v>
      </c>
      <c r="AA33" s="25" t="s">
        <v>6</v>
      </c>
      <c r="AB33" s="15"/>
      <c r="AC33" s="21"/>
      <c r="AD33" s="33">
        <v>20</v>
      </c>
      <c r="AE33" s="25" t="s">
        <v>6</v>
      </c>
      <c r="AF33" s="18"/>
      <c r="AG33" s="15"/>
      <c r="AH33" s="15"/>
      <c r="AI33" s="15"/>
      <c r="AJ33" s="15"/>
      <c r="AK33" s="15"/>
      <c r="AL33" s="15"/>
      <c r="AM33" s="15"/>
      <c r="AN33" s="15"/>
      <c r="AO33" s="15"/>
      <c r="AP33" s="15"/>
      <c r="AQ33" s="15"/>
      <c r="AR33" s="15"/>
      <c r="AS33" s="15"/>
      <c r="AT33" s="15"/>
      <c r="AU33" s="15"/>
      <c r="AV33" s="15"/>
      <c r="AW33" s="15"/>
      <c r="AX33" s="15"/>
      <c r="AY33" s="15"/>
      <c r="AZ33" s="15"/>
    </row>
    <row r="34" spans="1:68" ht="18.75" customHeight="1" thickBot="1" x14ac:dyDescent="0.3">
      <c r="A34" s="15"/>
      <c r="B34" s="15"/>
      <c r="C34" s="14"/>
      <c r="D34" s="21"/>
      <c r="E34" s="35">
        <v>75</v>
      </c>
      <c r="F34" s="25" t="s">
        <v>6</v>
      </c>
      <c r="G34" s="15"/>
      <c r="H34" s="21"/>
      <c r="I34" s="27">
        <v>75</v>
      </c>
      <c r="J34" s="25" t="s">
        <v>6</v>
      </c>
      <c r="K34" s="15"/>
      <c r="L34" s="63"/>
      <c r="M34" s="63"/>
      <c r="N34" s="64"/>
      <c r="O34" s="64"/>
      <c r="P34" s="64"/>
      <c r="Q34" s="64"/>
      <c r="R34" s="64"/>
      <c r="S34" s="64"/>
      <c r="T34" s="65"/>
      <c r="U34" s="65"/>
      <c r="V34" s="66"/>
      <c r="W34" s="66"/>
      <c r="X34" s="58"/>
      <c r="Y34" s="21"/>
      <c r="Z34" s="27">
        <v>3</v>
      </c>
      <c r="AA34" s="25" t="s">
        <v>6</v>
      </c>
      <c r="AB34" s="15"/>
      <c r="AC34" s="21"/>
      <c r="AD34" s="35">
        <v>15</v>
      </c>
      <c r="AE34" s="25" t="s">
        <v>6</v>
      </c>
      <c r="AF34" s="18"/>
      <c r="AG34" s="15"/>
      <c r="AH34" s="15"/>
      <c r="AI34" s="15"/>
      <c r="AJ34" s="15"/>
      <c r="AK34" s="15"/>
      <c r="AL34" s="15"/>
      <c r="AM34" s="15"/>
      <c r="AN34" s="15"/>
      <c r="AO34" s="15"/>
      <c r="AP34" s="15"/>
      <c r="AQ34" s="15"/>
      <c r="AR34" s="15"/>
      <c r="AS34" s="15"/>
      <c r="AT34" s="15"/>
      <c r="AU34" s="15"/>
      <c r="AV34" s="15"/>
      <c r="AW34" s="15"/>
      <c r="AX34" s="15"/>
      <c r="AY34" s="15"/>
      <c r="AZ34" s="15"/>
    </row>
    <row r="35" spans="1:68" ht="17.25" customHeight="1" thickBot="1" x14ac:dyDescent="0.3">
      <c r="A35" s="15"/>
      <c r="B35" s="15"/>
      <c r="C35" s="14"/>
      <c r="D35" s="21"/>
      <c r="E35" s="37">
        <v>50</v>
      </c>
      <c r="F35" s="25" t="s">
        <v>6</v>
      </c>
      <c r="G35" s="15"/>
      <c r="H35" s="21"/>
      <c r="I35" s="35">
        <v>50</v>
      </c>
      <c r="J35" s="25" t="s">
        <v>6</v>
      </c>
      <c r="K35" s="15"/>
      <c r="L35" s="15"/>
      <c r="M35" s="15"/>
      <c r="N35" s="67"/>
      <c r="O35" s="67"/>
      <c r="P35" s="67"/>
      <c r="Q35" s="67"/>
      <c r="R35" s="67"/>
      <c r="S35" s="67"/>
      <c r="T35" s="67"/>
      <c r="U35" s="67"/>
      <c r="V35" s="15"/>
      <c r="W35" s="15"/>
      <c r="X35" s="58"/>
      <c r="Y35" s="21"/>
      <c r="Z35" s="24">
        <v>2</v>
      </c>
      <c r="AA35" s="25" t="s">
        <v>6</v>
      </c>
      <c r="AB35" s="15"/>
      <c r="AC35" s="21"/>
      <c r="AD35" s="37">
        <v>10</v>
      </c>
      <c r="AE35" s="25" t="s">
        <v>6</v>
      </c>
      <c r="AF35" s="18"/>
      <c r="AG35" s="15"/>
      <c r="AH35" s="15"/>
      <c r="AI35" s="15"/>
      <c r="AJ35" s="15"/>
      <c r="AK35" s="15"/>
      <c r="AL35" s="15"/>
      <c r="AM35" s="15"/>
      <c r="AN35" s="15"/>
      <c r="AO35" s="15"/>
      <c r="AP35" s="15"/>
      <c r="AQ35" s="15"/>
      <c r="AR35" s="15"/>
      <c r="AS35" s="15"/>
      <c r="AT35" s="15"/>
      <c r="AU35" s="15"/>
      <c r="AV35" s="15"/>
      <c r="AW35" s="15"/>
      <c r="AX35" s="15"/>
      <c r="AY35" s="15"/>
      <c r="AZ35" s="15"/>
    </row>
    <row r="36" spans="1:68" ht="17.25" customHeight="1" thickBot="1" x14ac:dyDescent="0.3">
      <c r="A36" s="15"/>
      <c r="B36" s="15"/>
      <c r="C36" s="14"/>
      <c r="D36" s="21"/>
      <c r="E36" s="38">
        <v>25</v>
      </c>
      <c r="F36" s="25" t="s">
        <v>6</v>
      </c>
      <c r="G36" s="15"/>
      <c r="H36" s="21"/>
      <c r="I36" s="38">
        <v>25</v>
      </c>
      <c r="J36" s="25" t="s">
        <v>6</v>
      </c>
      <c r="K36" s="15"/>
      <c r="L36" s="843" t="s">
        <v>383</v>
      </c>
      <c r="M36" s="844"/>
      <c r="N36" s="844"/>
      <c r="O36" s="844"/>
      <c r="P36" s="844"/>
      <c r="Q36" s="844"/>
      <c r="R36" s="844"/>
      <c r="S36" s="844"/>
      <c r="T36" s="844"/>
      <c r="U36" s="844"/>
      <c r="V36" s="844"/>
      <c r="W36" s="845"/>
      <c r="X36" s="58"/>
      <c r="Y36" s="21"/>
      <c r="Z36" s="26">
        <v>1</v>
      </c>
      <c r="AA36" s="25" t="s">
        <v>6</v>
      </c>
      <c r="AB36" s="15"/>
      <c r="AC36" s="21"/>
      <c r="AD36" s="68">
        <v>5</v>
      </c>
      <c r="AE36" s="25" t="s">
        <v>6</v>
      </c>
      <c r="AF36" s="18"/>
      <c r="AG36" s="15"/>
      <c r="AH36" s="15"/>
      <c r="AI36" s="15"/>
      <c r="AJ36" s="15"/>
      <c r="AK36" s="15"/>
      <c r="AL36" s="15"/>
      <c r="AM36" s="15"/>
      <c r="AN36" s="15"/>
      <c r="AO36" s="15"/>
      <c r="AP36" s="15"/>
      <c r="AQ36" s="15"/>
      <c r="AR36" s="15"/>
      <c r="AS36" s="15"/>
      <c r="AT36" s="15"/>
      <c r="AU36" s="15"/>
      <c r="AV36" s="15"/>
      <c r="AW36" s="15"/>
      <c r="AX36" s="15"/>
      <c r="AY36" s="15"/>
      <c r="AZ36" s="15"/>
    </row>
    <row r="37" spans="1:68" ht="18" customHeight="1" thickBot="1" x14ac:dyDescent="0.3">
      <c r="A37" s="15"/>
      <c r="B37" s="15"/>
      <c r="C37" s="14"/>
      <c r="D37" s="44" t="s">
        <v>10</v>
      </c>
      <c r="E37" s="41">
        <v>0</v>
      </c>
      <c r="F37" s="42" t="s">
        <v>6</v>
      </c>
      <c r="G37" s="15"/>
      <c r="H37" s="44" t="s">
        <v>10</v>
      </c>
      <c r="I37" s="41">
        <v>0</v>
      </c>
      <c r="J37" s="42" t="s">
        <v>6</v>
      </c>
      <c r="K37" s="15"/>
      <c r="L37" s="846"/>
      <c r="M37" s="847"/>
      <c r="N37" s="847"/>
      <c r="O37" s="847"/>
      <c r="P37" s="847"/>
      <c r="Q37" s="847"/>
      <c r="R37" s="847"/>
      <c r="S37" s="847"/>
      <c r="T37" s="847"/>
      <c r="U37" s="847"/>
      <c r="V37" s="847"/>
      <c r="W37" s="848"/>
      <c r="X37" s="58"/>
      <c r="Y37" s="44" t="s">
        <v>10</v>
      </c>
      <c r="Z37" s="69">
        <v>0</v>
      </c>
      <c r="AA37" s="25" t="s">
        <v>6</v>
      </c>
      <c r="AB37" s="15"/>
      <c r="AC37" s="44" t="s">
        <v>10</v>
      </c>
      <c r="AD37" s="69">
        <v>0</v>
      </c>
      <c r="AE37" s="25" t="s">
        <v>6</v>
      </c>
      <c r="AF37" s="18"/>
      <c r="AG37" s="15"/>
      <c r="AH37" s="15"/>
      <c r="AI37" s="15"/>
      <c r="AJ37" s="15"/>
      <c r="AK37" s="15"/>
      <c r="AL37" s="15"/>
      <c r="AM37" s="15"/>
      <c r="AN37" s="15"/>
      <c r="AO37" s="15"/>
      <c r="AP37" s="15"/>
      <c r="AQ37" s="15"/>
      <c r="AR37" s="15"/>
      <c r="AS37" s="15"/>
      <c r="AT37" s="15"/>
      <c r="AU37" s="15"/>
      <c r="AV37" s="15"/>
      <c r="AW37" s="15"/>
      <c r="AX37" s="15"/>
      <c r="AY37" s="15"/>
      <c r="AZ37" s="15"/>
    </row>
    <row r="38" spans="1:68" ht="19.5" customHeight="1" thickBot="1" x14ac:dyDescent="0.25">
      <c r="A38" s="15"/>
      <c r="B38" s="15"/>
      <c r="C38" s="14"/>
      <c r="D38" s="21"/>
      <c r="E38" s="45" t="s">
        <v>11</v>
      </c>
      <c r="F38" s="46"/>
      <c r="G38" s="15"/>
      <c r="H38" s="21"/>
      <c r="I38" s="45" t="s">
        <v>11</v>
      </c>
      <c r="J38" s="46"/>
      <c r="K38" s="15"/>
      <c r="L38" s="849" t="s">
        <v>16</v>
      </c>
      <c r="M38" s="850"/>
      <c r="N38" s="850"/>
      <c r="O38" s="850"/>
      <c r="P38" s="850"/>
      <c r="Q38" s="850"/>
      <c r="R38" s="850"/>
      <c r="S38" s="850"/>
      <c r="T38" s="850"/>
      <c r="U38" s="850"/>
      <c r="V38" s="850" t="s">
        <v>17</v>
      </c>
      <c r="W38" s="855"/>
      <c r="X38" s="70"/>
      <c r="Y38" s="21"/>
      <c r="Z38" s="45" t="s">
        <v>11</v>
      </c>
      <c r="AA38" s="46"/>
      <c r="AB38" s="15"/>
      <c r="AC38" s="21"/>
      <c r="AD38" s="45" t="s">
        <v>11</v>
      </c>
      <c r="AE38" s="46"/>
      <c r="AF38" s="18"/>
      <c r="AG38" s="15"/>
      <c r="AH38" s="15"/>
      <c r="AI38" s="15"/>
      <c r="AJ38" s="15"/>
      <c r="AK38" s="15"/>
      <c r="AL38" s="15"/>
      <c r="AM38" s="15"/>
      <c r="AN38" s="15"/>
      <c r="AO38" s="15"/>
      <c r="AP38" s="15"/>
      <c r="AQ38" s="15"/>
      <c r="AR38" s="15"/>
      <c r="AS38" s="15"/>
      <c r="AT38" s="15"/>
      <c r="AU38" s="15"/>
      <c r="AV38" s="15"/>
      <c r="AW38" s="15"/>
      <c r="AX38" s="15"/>
      <c r="AY38" s="15"/>
      <c r="AZ38" s="15"/>
    </row>
    <row r="39" spans="1:68" ht="18.75" customHeight="1" x14ac:dyDescent="0.2">
      <c r="A39" s="15"/>
      <c r="B39" s="15"/>
      <c r="C39" s="14"/>
      <c r="D39" s="47"/>
      <c r="E39" s="48"/>
      <c r="F39" s="49"/>
      <c r="G39" s="15"/>
      <c r="H39" s="47"/>
      <c r="I39" s="48"/>
      <c r="J39" s="49"/>
      <c r="K39" s="15"/>
      <c r="L39" s="851"/>
      <c r="M39" s="852"/>
      <c r="N39" s="71"/>
      <c r="O39" s="72"/>
      <c r="P39" s="73"/>
      <c r="Q39" s="74"/>
      <c r="R39" s="75"/>
      <c r="S39" s="76"/>
      <c r="T39" s="77"/>
      <c r="U39" s="78"/>
      <c r="V39" s="852"/>
      <c r="W39" s="856"/>
      <c r="X39" s="70"/>
      <c r="Y39" s="47"/>
      <c r="Z39" s="48"/>
      <c r="AA39" s="49"/>
      <c r="AB39" s="15"/>
      <c r="AC39" s="47"/>
      <c r="AD39" s="48"/>
      <c r="AE39" s="49"/>
      <c r="AF39" s="18"/>
      <c r="AG39" s="15"/>
      <c r="AH39" s="15"/>
      <c r="AI39" s="15"/>
      <c r="AJ39" s="15"/>
      <c r="AK39" s="15"/>
      <c r="AL39" s="15"/>
      <c r="AM39" s="15"/>
      <c r="AN39" s="15"/>
      <c r="AO39" s="15"/>
      <c r="AP39" s="15"/>
      <c r="AQ39" s="15"/>
      <c r="AR39" s="15"/>
      <c r="AS39" s="15"/>
      <c r="AT39" s="15"/>
      <c r="AU39" s="15"/>
      <c r="AV39" s="15"/>
      <c r="AW39" s="15"/>
      <c r="AX39" s="15"/>
      <c r="AY39" s="15"/>
      <c r="AZ39" s="15"/>
    </row>
    <row r="40" spans="1:68" ht="22.5" customHeight="1" thickBot="1" x14ac:dyDescent="0.25">
      <c r="A40" s="15"/>
      <c r="B40" s="15"/>
      <c r="C40" s="14"/>
      <c r="D40" s="50"/>
      <c r="E40" s="51"/>
      <c r="F40" s="52"/>
      <c r="G40" s="15"/>
      <c r="H40" s="50"/>
      <c r="I40" s="51"/>
      <c r="J40" s="52"/>
      <c r="K40" s="15"/>
      <c r="L40" s="851"/>
      <c r="M40" s="852"/>
      <c r="N40" s="79"/>
      <c r="O40" s="80"/>
      <c r="P40" s="81"/>
      <c r="Q40" s="82"/>
      <c r="R40" s="83"/>
      <c r="S40" s="84"/>
      <c r="T40" s="85"/>
      <c r="U40" s="86"/>
      <c r="V40" s="852"/>
      <c r="W40" s="856"/>
      <c r="X40" s="58"/>
      <c r="Y40" s="87"/>
      <c r="Z40" s="88"/>
      <c r="AA40" s="89"/>
      <c r="AB40" s="15"/>
      <c r="AC40" s="90"/>
      <c r="AD40" s="91"/>
      <c r="AE40" s="89"/>
      <c r="AF40" s="18"/>
      <c r="AG40" s="15"/>
      <c r="AH40" s="15"/>
      <c r="AI40" s="15"/>
      <c r="AJ40" s="15"/>
      <c r="AK40" s="15"/>
      <c r="AL40" s="15"/>
      <c r="AM40" s="15"/>
      <c r="AN40" s="15"/>
      <c r="AO40" s="15"/>
      <c r="AP40" s="15"/>
      <c r="AQ40" s="15"/>
      <c r="AR40" s="15"/>
      <c r="AS40" s="15"/>
      <c r="AT40" s="15"/>
      <c r="AU40" s="15"/>
      <c r="AV40" s="15"/>
      <c r="AW40" s="15"/>
      <c r="AX40" s="15"/>
      <c r="AY40" s="15"/>
      <c r="AZ40" s="15"/>
    </row>
    <row r="41" spans="1:68" ht="12.75" customHeight="1" x14ac:dyDescent="0.2">
      <c r="A41" s="15"/>
      <c r="B41" s="15"/>
      <c r="C41" s="14"/>
      <c r="D41" s="15"/>
      <c r="E41" s="15"/>
      <c r="F41" s="15"/>
      <c r="G41" s="15"/>
      <c r="H41" s="15"/>
      <c r="I41" s="15"/>
      <c r="J41" s="15"/>
      <c r="K41" s="16"/>
      <c r="L41" s="851"/>
      <c r="M41" s="852"/>
      <c r="N41" s="852"/>
      <c r="O41" s="852"/>
      <c r="P41" s="852"/>
      <c r="Q41" s="852"/>
      <c r="R41" s="852"/>
      <c r="S41" s="852"/>
      <c r="T41" s="852"/>
      <c r="U41" s="852"/>
      <c r="V41" s="852"/>
      <c r="W41" s="856"/>
      <c r="X41" s="53"/>
      <c r="Y41" s="15"/>
      <c r="Z41" s="15"/>
      <c r="AA41" s="15"/>
      <c r="AB41" s="15"/>
      <c r="AC41" s="15"/>
      <c r="AD41" s="15"/>
      <c r="AE41" s="15"/>
      <c r="AF41" s="18"/>
      <c r="AG41" s="15"/>
      <c r="AH41" s="15"/>
      <c r="AI41" s="15"/>
      <c r="AJ41" s="15"/>
      <c r="AK41" s="15"/>
      <c r="AL41" s="15"/>
      <c r="AM41" s="15"/>
      <c r="AN41" s="15"/>
      <c r="AO41" s="15"/>
      <c r="AP41" s="15"/>
      <c r="AQ41" s="15"/>
      <c r="AR41" s="15"/>
      <c r="AS41" s="15"/>
      <c r="AT41" s="15"/>
      <c r="AU41" s="15"/>
      <c r="AV41" s="15"/>
      <c r="AW41" s="15"/>
      <c r="AX41" s="15"/>
      <c r="AY41" s="15"/>
      <c r="AZ41" s="15"/>
    </row>
    <row r="42" spans="1:68" ht="9.75" customHeight="1" thickBot="1" x14ac:dyDescent="0.25">
      <c r="A42" s="15"/>
      <c r="B42" s="15"/>
      <c r="C42" s="92"/>
      <c r="D42" s="55"/>
      <c r="E42" s="55"/>
      <c r="F42" s="55"/>
      <c r="G42" s="55"/>
      <c r="H42" s="55"/>
      <c r="I42" s="55"/>
      <c r="J42" s="55"/>
      <c r="K42" s="16"/>
      <c r="L42" s="853"/>
      <c r="M42" s="854"/>
      <c r="N42" s="854"/>
      <c r="O42" s="854"/>
      <c r="P42" s="854"/>
      <c r="Q42" s="854"/>
      <c r="R42" s="854"/>
      <c r="S42" s="854"/>
      <c r="T42" s="854"/>
      <c r="U42" s="854"/>
      <c r="V42" s="854"/>
      <c r="W42" s="857"/>
      <c r="X42" s="17"/>
      <c r="Y42" s="55"/>
      <c r="Z42" s="55"/>
      <c r="AA42" s="55"/>
      <c r="AB42" s="55"/>
      <c r="AC42" s="55"/>
      <c r="AD42" s="55"/>
      <c r="AE42" s="55"/>
      <c r="AF42" s="93"/>
      <c r="AG42" s="15"/>
      <c r="AH42" s="15"/>
      <c r="AI42" s="15"/>
      <c r="AJ42" s="15"/>
      <c r="AK42" s="15"/>
      <c r="AL42" s="15"/>
      <c r="AM42" s="15"/>
      <c r="AN42" s="15"/>
      <c r="AO42" s="15"/>
      <c r="AP42" s="15"/>
      <c r="AQ42" s="15"/>
      <c r="AR42" s="15"/>
      <c r="AS42" s="15"/>
      <c r="AT42" s="15"/>
      <c r="AU42" s="15"/>
      <c r="AV42" s="15"/>
      <c r="AW42" s="15"/>
      <c r="AX42" s="15"/>
      <c r="AY42" s="15"/>
      <c r="AZ42" s="15"/>
    </row>
    <row r="43" spans="1:68" x14ac:dyDescent="0.2">
      <c r="A43" s="15"/>
      <c r="B43" s="15"/>
      <c r="C43" s="14"/>
      <c r="D43" s="15"/>
      <c r="E43" s="15"/>
      <c r="F43" s="15"/>
      <c r="G43" s="15"/>
      <c r="H43" s="15"/>
      <c r="I43" s="15"/>
      <c r="J43" s="15"/>
      <c r="K43" s="16"/>
      <c r="L43" s="15"/>
      <c r="M43" s="15"/>
      <c r="N43" s="15"/>
      <c r="O43" s="15"/>
      <c r="P43" s="15"/>
      <c r="Q43" s="15"/>
      <c r="R43" s="15"/>
      <c r="S43" s="15"/>
      <c r="T43" s="15"/>
      <c r="U43" s="15"/>
      <c r="V43" s="15"/>
      <c r="W43" s="15"/>
      <c r="X43" s="17"/>
      <c r="Y43" s="15"/>
      <c r="Z43" s="15"/>
      <c r="AA43" s="15"/>
      <c r="AB43" s="15"/>
      <c r="AC43" s="15"/>
      <c r="AD43" s="15"/>
      <c r="AE43" s="15"/>
      <c r="AF43" s="18"/>
      <c r="AG43" s="15"/>
      <c r="AH43" s="15"/>
      <c r="AI43" s="15"/>
      <c r="AJ43" s="15"/>
      <c r="AK43" s="15"/>
      <c r="AL43" s="15"/>
      <c r="AM43" s="15"/>
      <c r="AN43" s="15"/>
      <c r="AO43" s="15"/>
      <c r="AP43" s="15"/>
      <c r="AQ43" s="15"/>
      <c r="AR43" s="15"/>
      <c r="AS43" s="15"/>
      <c r="AT43" s="15"/>
      <c r="AU43" s="15"/>
      <c r="AV43" s="15"/>
      <c r="AW43" s="15"/>
      <c r="AX43" s="15"/>
      <c r="AY43" s="15"/>
      <c r="AZ43" s="15"/>
    </row>
    <row r="44" spans="1:68" x14ac:dyDescent="0.2">
      <c r="A44" s="15"/>
      <c r="B44" s="15"/>
      <c r="C44" s="14"/>
      <c r="D44" s="15"/>
      <c r="E44" s="15"/>
      <c r="F44" s="15"/>
      <c r="G44" s="15"/>
      <c r="H44" s="15"/>
      <c r="I44" s="15"/>
      <c r="J44" s="15"/>
      <c r="K44" s="16"/>
      <c r="L44" s="15"/>
      <c r="M44" s="15"/>
      <c r="N44" s="15"/>
      <c r="O44" s="15"/>
      <c r="P44" s="15"/>
      <c r="Q44" s="15"/>
      <c r="R44" s="15"/>
      <c r="S44" s="15"/>
      <c r="T44" s="15"/>
      <c r="U44" s="15"/>
      <c r="V44" s="15"/>
      <c r="W44" s="15"/>
      <c r="X44" s="17"/>
      <c r="Y44" s="15"/>
      <c r="Z44" s="15"/>
      <c r="AA44" s="15"/>
      <c r="AB44" s="15"/>
      <c r="AC44" s="15"/>
      <c r="AD44" s="15"/>
      <c r="AE44" s="15"/>
      <c r="AF44" s="18"/>
      <c r="AG44" s="15"/>
      <c r="AH44" s="15"/>
      <c r="AI44" s="15"/>
      <c r="AJ44" s="15"/>
      <c r="AK44" s="15"/>
      <c r="AL44" s="15"/>
      <c r="AM44" s="15"/>
      <c r="AN44" s="15"/>
      <c r="AO44" s="15"/>
      <c r="AP44" s="15"/>
      <c r="AQ44" s="15"/>
      <c r="AR44" s="15"/>
      <c r="AS44" s="15"/>
      <c r="AT44" s="15"/>
      <c r="AU44" s="15"/>
      <c r="AV44" s="15"/>
      <c r="AW44" s="15"/>
      <c r="AX44" s="15"/>
      <c r="AY44" s="15"/>
      <c r="AZ44" s="15"/>
    </row>
    <row r="45" spans="1:68" ht="13.5" thickBot="1" x14ac:dyDescent="0.25">
      <c r="A45" s="15"/>
      <c r="B45" s="15"/>
      <c r="C45" s="94"/>
      <c r="D45" s="95"/>
      <c r="E45" s="95"/>
      <c r="F45" s="95"/>
      <c r="G45" s="95"/>
      <c r="H45" s="95"/>
      <c r="I45" s="95"/>
      <c r="J45" s="95"/>
      <c r="K45" s="95"/>
      <c r="L45" s="95"/>
      <c r="M45" s="95"/>
      <c r="N45" s="95"/>
      <c r="O45" s="95"/>
      <c r="P45" s="95"/>
      <c r="Q45" s="95"/>
      <c r="R45" s="95"/>
      <c r="S45" s="95"/>
      <c r="T45" s="95"/>
      <c r="U45" s="95"/>
      <c r="V45" s="95"/>
      <c r="W45" s="95"/>
      <c r="X45" s="95"/>
      <c r="Y45" s="95"/>
      <c r="Z45" s="95"/>
      <c r="AA45" s="95"/>
      <c r="AB45" s="95"/>
      <c r="AC45" s="95"/>
      <c r="AD45" s="95"/>
      <c r="AE45" s="95"/>
      <c r="AF45" s="96"/>
      <c r="AG45" s="15"/>
      <c r="AH45" s="15"/>
      <c r="AI45" s="15"/>
      <c r="AJ45" s="15"/>
      <c r="AK45" s="15"/>
      <c r="AL45" s="15"/>
      <c r="AM45" s="15"/>
      <c r="AN45" s="15"/>
      <c r="AO45" s="15"/>
      <c r="AP45" s="15"/>
      <c r="AQ45" s="15"/>
      <c r="AR45" s="15"/>
      <c r="AS45" s="15"/>
      <c r="AT45" s="15"/>
      <c r="AU45" s="15"/>
      <c r="AV45" s="15"/>
      <c r="AW45" s="15"/>
      <c r="AX45" s="15"/>
      <c r="AY45" s="15"/>
      <c r="AZ45" s="15"/>
    </row>
    <row r="46" spans="1:68" ht="24.75" customHeight="1" thickTop="1" x14ac:dyDescent="0.2">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row>
    <row r="47" spans="1:68" x14ac:dyDescent="0.2">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row>
    <row r="48" spans="1:68" s="2" customFormat="1" x14ac:dyDescent="0.2">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
      <c r="BB48" s="1"/>
      <c r="BC48" s="1"/>
      <c r="BD48" s="1"/>
      <c r="BE48" s="1"/>
      <c r="BF48" s="1"/>
      <c r="BG48" s="1"/>
      <c r="BH48" s="1"/>
      <c r="BI48" s="1"/>
      <c r="BJ48" s="1"/>
      <c r="BK48" s="1"/>
      <c r="BL48" s="1"/>
      <c r="BM48" s="1"/>
      <c r="BN48" s="1"/>
      <c r="BO48" s="1"/>
      <c r="BP48" s="1"/>
    </row>
    <row r="49" spans="1:68" s="2" customFormat="1" x14ac:dyDescent="0.2">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
      <c r="BB49" s="1"/>
      <c r="BC49" s="1"/>
      <c r="BD49" s="1"/>
      <c r="BE49" s="1"/>
      <c r="BF49" s="1"/>
      <c r="BG49" s="1"/>
      <c r="BH49" s="1"/>
      <c r="BI49" s="1"/>
      <c r="BJ49" s="1"/>
      <c r="BK49" s="1"/>
      <c r="BL49" s="1"/>
      <c r="BM49" s="1"/>
      <c r="BN49" s="1"/>
      <c r="BO49" s="1"/>
      <c r="BP49" s="1"/>
    </row>
    <row r="50" spans="1:68" s="2" customFormat="1" x14ac:dyDescent="0.2">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
      <c r="BB50" s="1"/>
      <c r="BC50" s="1"/>
      <c r="BD50" s="1"/>
      <c r="BE50" s="1"/>
      <c r="BF50" s="1"/>
      <c r="BG50" s="1"/>
      <c r="BH50" s="1"/>
      <c r="BI50" s="1"/>
      <c r="BJ50" s="1"/>
      <c r="BK50" s="1"/>
      <c r="BL50" s="1"/>
      <c r="BM50" s="1"/>
      <c r="BN50" s="1"/>
      <c r="BO50" s="1"/>
      <c r="BP50" s="1"/>
    </row>
    <row r="51" spans="1:68" s="2" customFormat="1" x14ac:dyDescent="0.2">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
      <c r="BB51" s="1"/>
      <c r="BC51" s="1"/>
      <c r="BD51" s="1"/>
      <c r="BE51" s="1"/>
      <c r="BF51" s="1"/>
      <c r="BG51" s="1"/>
      <c r="BH51" s="1"/>
      <c r="BI51" s="1"/>
      <c r="BJ51" s="1"/>
      <c r="BK51" s="1"/>
      <c r="BL51" s="1"/>
      <c r="BM51" s="1"/>
      <c r="BN51" s="1"/>
      <c r="BO51" s="1"/>
      <c r="BP51" s="1"/>
    </row>
    <row r="52" spans="1:68" s="2" customFormat="1" x14ac:dyDescent="0.2">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
      <c r="BB52" s="1"/>
      <c r="BC52" s="1"/>
      <c r="BD52" s="1"/>
      <c r="BE52" s="1"/>
      <c r="BF52" s="1"/>
      <c r="BG52" s="1"/>
      <c r="BH52" s="1"/>
      <c r="BI52" s="1"/>
      <c r="BJ52" s="1"/>
      <c r="BK52" s="1"/>
      <c r="BL52" s="1"/>
      <c r="BM52" s="1"/>
      <c r="BN52" s="1"/>
      <c r="BO52" s="1"/>
      <c r="BP52" s="1"/>
    </row>
    <row r="53" spans="1:68" s="2" customFormat="1" x14ac:dyDescent="0.2">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
      <c r="BB53" s="1"/>
      <c r="BC53" s="1"/>
      <c r="BD53" s="1"/>
      <c r="BE53" s="1"/>
      <c r="BF53" s="1"/>
      <c r="BG53" s="1"/>
      <c r="BH53" s="1"/>
      <c r="BI53" s="1"/>
      <c r="BJ53" s="1"/>
      <c r="BK53" s="1"/>
      <c r="BL53" s="1"/>
      <c r="BM53" s="1"/>
      <c r="BN53" s="1"/>
      <c r="BO53" s="1"/>
      <c r="BP53" s="1"/>
    </row>
    <row r="54" spans="1:68" s="2" customFormat="1" x14ac:dyDescent="0.2">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
      <c r="BB54" s="1"/>
      <c r="BC54" s="1"/>
      <c r="BD54" s="1"/>
      <c r="BE54" s="1"/>
      <c r="BF54" s="1"/>
      <c r="BG54" s="1"/>
      <c r="BH54" s="1"/>
      <c r="BI54" s="1"/>
      <c r="BJ54" s="1"/>
      <c r="BK54" s="1"/>
      <c r="BL54" s="1"/>
      <c r="BM54" s="1"/>
      <c r="BN54" s="1"/>
      <c r="BO54" s="1"/>
      <c r="BP54" s="1"/>
    </row>
    <row r="55" spans="1:68" s="2" customFormat="1" x14ac:dyDescent="0.2">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c r="BA55" s="1"/>
      <c r="BB55" s="1"/>
      <c r="BC55" s="1"/>
      <c r="BD55" s="1"/>
      <c r="BE55" s="1"/>
      <c r="BF55" s="1"/>
      <c r="BG55" s="1"/>
      <c r="BH55" s="1"/>
      <c r="BI55" s="1"/>
      <c r="BJ55" s="1"/>
      <c r="BK55" s="1"/>
      <c r="BL55" s="1"/>
      <c r="BM55" s="1"/>
      <c r="BN55" s="1"/>
      <c r="BO55" s="1"/>
      <c r="BP55" s="1"/>
    </row>
    <row r="56" spans="1:68" s="2" customFormat="1" x14ac:dyDescent="0.2">
      <c r="A56" s="15"/>
      <c r="B56" s="15"/>
      <c r="C56" s="15"/>
      <c r="D56" s="15"/>
      <c r="E56" s="15"/>
      <c r="F56" s="15"/>
      <c r="G56" s="15"/>
      <c r="H56" s="692"/>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
      <c r="BB56" s="1"/>
      <c r="BC56" s="1"/>
      <c r="BD56" s="1"/>
      <c r="BE56" s="1"/>
      <c r="BF56" s="1"/>
      <c r="BG56" s="1"/>
      <c r="BH56" s="1"/>
      <c r="BI56" s="1"/>
      <c r="BJ56" s="1"/>
      <c r="BK56" s="1"/>
      <c r="BL56" s="1"/>
      <c r="BM56" s="1"/>
      <c r="BN56" s="1"/>
      <c r="BO56" s="1"/>
      <c r="BP56" s="1"/>
    </row>
    <row r="57" spans="1:68" s="2" customFormat="1" x14ac:dyDescent="0.2">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c r="BA57" s="1"/>
      <c r="BB57" s="1"/>
      <c r="BC57" s="1"/>
      <c r="BD57" s="1"/>
      <c r="BE57" s="1"/>
      <c r="BF57" s="1"/>
      <c r="BG57" s="1"/>
      <c r="BH57" s="1"/>
      <c r="BI57" s="1"/>
      <c r="BJ57" s="1"/>
      <c r="BK57" s="1"/>
      <c r="BL57" s="1"/>
      <c r="BM57" s="1"/>
      <c r="BN57" s="1"/>
      <c r="BO57" s="1"/>
      <c r="BP57" s="1"/>
    </row>
    <row r="58" spans="1:68" s="2" customFormat="1" x14ac:dyDescent="0.2">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c r="BA58" s="1"/>
      <c r="BB58" s="1"/>
      <c r="BC58" s="1"/>
      <c r="BD58" s="1"/>
      <c r="BE58" s="1"/>
      <c r="BF58" s="1"/>
      <c r="BG58" s="1"/>
      <c r="BH58" s="1"/>
      <c r="BI58" s="1"/>
      <c r="BJ58" s="1"/>
      <c r="BK58" s="1"/>
      <c r="BL58" s="1"/>
      <c r="BM58" s="1"/>
      <c r="BN58" s="1"/>
      <c r="BO58" s="1"/>
      <c r="BP58" s="1"/>
    </row>
    <row r="59" spans="1:68" s="2" customFormat="1" x14ac:dyDescent="0.2">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c r="BA59" s="1"/>
      <c r="BB59" s="1"/>
      <c r="BC59" s="1"/>
      <c r="BD59" s="1"/>
      <c r="BE59" s="1"/>
      <c r="BF59" s="1"/>
      <c r="BG59" s="1"/>
      <c r="BH59" s="1"/>
      <c r="BI59" s="1"/>
      <c r="BJ59" s="1"/>
      <c r="BK59" s="1"/>
      <c r="BL59" s="1"/>
      <c r="BM59" s="1"/>
      <c r="BN59" s="1"/>
      <c r="BO59" s="1"/>
      <c r="BP59" s="1"/>
    </row>
    <row r="60" spans="1:68" s="2" customFormat="1" x14ac:dyDescent="0.2">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
      <c r="BB60" s="1"/>
      <c r="BC60" s="1"/>
      <c r="BD60" s="1"/>
      <c r="BE60" s="1"/>
      <c r="BF60" s="1"/>
      <c r="BG60" s="1"/>
      <c r="BH60" s="1"/>
      <c r="BI60" s="1"/>
      <c r="BJ60" s="1"/>
      <c r="BK60" s="1"/>
      <c r="BL60" s="1"/>
      <c r="BM60" s="1"/>
      <c r="BN60" s="1"/>
      <c r="BO60" s="1"/>
      <c r="BP60" s="1"/>
    </row>
    <row r="61" spans="1:68" s="2" customFormat="1" x14ac:dyDescent="0.2">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c r="BA61" s="1"/>
      <c r="BB61" s="1"/>
      <c r="BC61" s="1"/>
      <c r="BD61" s="1"/>
      <c r="BE61" s="1"/>
      <c r="BF61" s="1"/>
      <c r="BG61" s="1"/>
      <c r="BH61" s="1"/>
      <c r="BI61" s="1"/>
      <c r="BJ61" s="1"/>
      <c r="BK61" s="1"/>
      <c r="BL61" s="1"/>
      <c r="BM61" s="1"/>
      <c r="BN61" s="1"/>
      <c r="BO61" s="1"/>
      <c r="BP61" s="1"/>
    </row>
    <row r="62" spans="1:68" s="2" customFormat="1" x14ac:dyDescent="0.2">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c r="BA62" s="1"/>
      <c r="BB62" s="1"/>
      <c r="BC62" s="1"/>
      <c r="BD62" s="1"/>
      <c r="BE62" s="1"/>
      <c r="BF62" s="1"/>
      <c r="BG62" s="1"/>
      <c r="BH62" s="1"/>
      <c r="BI62" s="1"/>
      <c r="BJ62" s="1"/>
      <c r="BK62" s="1"/>
      <c r="BL62" s="1"/>
      <c r="BM62" s="1"/>
      <c r="BN62" s="1"/>
      <c r="BO62" s="1"/>
      <c r="BP62" s="1"/>
    </row>
    <row r="63" spans="1:68" s="2" customFormat="1" x14ac:dyDescent="0.2">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AZ63" s="15"/>
      <c r="BA63" s="1"/>
      <c r="BB63" s="1"/>
      <c r="BC63" s="1"/>
      <c r="BD63" s="1"/>
      <c r="BE63" s="1"/>
      <c r="BF63" s="1"/>
      <c r="BG63" s="1"/>
      <c r="BH63" s="1"/>
      <c r="BI63" s="1"/>
      <c r="BJ63" s="1"/>
      <c r="BK63" s="1"/>
      <c r="BL63" s="1"/>
      <c r="BM63" s="1"/>
      <c r="BN63" s="1"/>
      <c r="BO63" s="1"/>
      <c r="BP63" s="1"/>
    </row>
    <row r="64" spans="1:68" s="2" customFormat="1" x14ac:dyDescent="0.2">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c r="AV64" s="15"/>
      <c r="AW64" s="15"/>
      <c r="AX64" s="15"/>
      <c r="AY64" s="15"/>
      <c r="AZ64" s="15"/>
      <c r="BA64" s="1"/>
      <c r="BB64" s="1"/>
      <c r="BC64" s="1"/>
      <c r="BD64" s="1"/>
      <c r="BE64" s="1"/>
      <c r="BF64" s="1"/>
      <c r="BG64" s="1"/>
      <c r="BH64" s="1"/>
      <c r="BI64" s="1"/>
      <c r="BJ64" s="1"/>
      <c r="BK64" s="1"/>
      <c r="BL64" s="1"/>
      <c r="BM64" s="1"/>
      <c r="BN64" s="1"/>
      <c r="BO64" s="1"/>
      <c r="BP64" s="1"/>
    </row>
    <row r="65" spans="1:68" s="2" customFormat="1" x14ac:dyDescent="0.2">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c r="AY65" s="15"/>
      <c r="AZ65" s="15"/>
      <c r="BA65" s="1"/>
      <c r="BB65" s="1"/>
      <c r="BC65" s="1"/>
      <c r="BD65" s="1"/>
      <c r="BE65" s="1"/>
      <c r="BF65" s="1"/>
      <c r="BG65" s="1"/>
      <c r="BH65" s="1"/>
      <c r="BI65" s="1"/>
      <c r="BJ65" s="1"/>
      <c r="BK65" s="1"/>
      <c r="BL65" s="1"/>
      <c r="BM65" s="1"/>
      <c r="BN65" s="1"/>
      <c r="BO65" s="1"/>
      <c r="BP65" s="1"/>
    </row>
    <row r="66" spans="1:68" s="2" customFormat="1" x14ac:dyDescent="0.2">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AZ66" s="15"/>
      <c r="BA66" s="1"/>
      <c r="BB66" s="1"/>
      <c r="BC66" s="1"/>
      <c r="BD66" s="1"/>
      <c r="BE66" s="1"/>
      <c r="BF66" s="1"/>
      <c r="BG66" s="1"/>
      <c r="BH66" s="1"/>
      <c r="BI66" s="1"/>
      <c r="BJ66" s="1"/>
      <c r="BK66" s="1"/>
      <c r="BL66" s="1"/>
      <c r="BM66" s="1"/>
      <c r="BN66" s="1"/>
      <c r="BO66" s="1"/>
      <c r="BP66" s="1"/>
    </row>
    <row r="67" spans="1:68" s="2" customFormat="1" x14ac:dyDescent="0.2">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c r="AV67" s="15"/>
      <c r="AW67" s="15"/>
      <c r="AX67" s="15"/>
      <c r="AY67" s="15"/>
      <c r="AZ67" s="15"/>
      <c r="BA67" s="1"/>
      <c r="BB67" s="1"/>
      <c r="BC67" s="1"/>
      <c r="BD67" s="1"/>
      <c r="BE67" s="1"/>
      <c r="BF67" s="1"/>
      <c r="BG67" s="1"/>
      <c r="BH67" s="1"/>
      <c r="BI67" s="1"/>
      <c r="BJ67" s="1"/>
      <c r="BK67" s="1"/>
      <c r="BL67" s="1"/>
      <c r="BM67" s="1"/>
      <c r="BN67" s="1"/>
      <c r="BO67" s="1"/>
      <c r="BP67" s="1"/>
    </row>
    <row r="68" spans="1:68" s="2" customFormat="1" x14ac:dyDescent="0.2">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15"/>
      <c r="AO68" s="15"/>
      <c r="AP68" s="15"/>
      <c r="AQ68" s="15"/>
      <c r="AR68" s="15"/>
      <c r="AS68" s="15"/>
      <c r="AT68" s="15"/>
      <c r="AU68" s="15"/>
      <c r="AV68" s="15"/>
      <c r="AW68" s="15"/>
      <c r="AX68" s="15"/>
      <c r="AY68" s="15"/>
      <c r="AZ68" s="15"/>
      <c r="BA68" s="1"/>
      <c r="BB68" s="1"/>
      <c r="BC68" s="1"/>
      <c r="BD68" s="1"/>
      <c r="BE68" s="1"/>
      <c r="BF68" s="1"/>
      <c r="BG68" s="1"/>
      <c r="BH68" s="1"/>
      <c r="BI68" s="1"/>
      <c r="BJ68" s="1"/>
      <c r="BK68" s="1"/>
      <c r="BL68" s="1"/>
      <c r="BM68" s="1"/>
      <c r="BN68" s="1"/>
      <c r="BO68" s="1"/>
      <c r="BP68" s="1"/>
    </row>
    <row r="69" spans="1:68" s="2" customFormat="1" x14ac:dyDescent="0.2">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c r="AL69" s="15"/>
      <c r="AM69" s="15"/>
      <c r="AN69" s="15"/>
      <c r="AO69" s="15"/>
      <c r="AP69" s="15"/>
      <c r="AQ69" s="15"/>
      <c r="AR69" s="15"/>
      <c r="AS69" s="15"/>
      <c r="AT69" s="15"/>
      <c r="AU69" s="15"/>
      <c r="AV69" s="15"/>
      <c r="AW69" s="15"/>
      <c r="AX69" s="15"/>
      <c r="AY69" s="15"/>
      <c r="AZ69" s="15"/>
      <c r="BA69" s="1"/>
      <c r="BB69" s="1"/>
      <c r="BC69" s="1"/>
      <c r="BD69" s="1"/>
      <c r="BE69" s="1"/>
      <c r="BF69" s="1"/>
      <c r="BG69" s="1"/>
      <c r="BH69" s="1"/>
      <c r="BI69" s="1"/>
      <c r="BJ69" s="1"/>
      <c r="BK69" s="1"/>
      <c r="BL69" s="1"/>
      <c r="BM69" s="1"/>
      <c r="BN69" s="1"/>
      <c r="BO69" s="1"/>
      <c r="BP69" s="1"/>
    </row>
    <row r="70" spans="1:68" s="2" customFormat="1" x14ac:dyDescent="0.2">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c r="AL70" s="15"/>
      <c r="AM70" s="15"/>
      <c r="AN70" s="15"/>
      <c r="AO70" s="15"/>
      <c r="AP70" s="15"/>
      <c r="AQ70" s="15"/>
      <c r="AR70" s="15"/>
      <c r="AS70" s="15"/>
      <c r="AT70" s="15"/>
      <c r="AU70" s="15"/>
      <c r="AV70" s="15"/>
      <c r="AW70" s="15"/>
      <c r="AX70" s="15"/>
      <c r="AY70" s="15"/>
      <c r="AZ70" s="15"/>
      <c r="BA70" s="1"/>
      <c r="BB70" s="1"/>
      <c r="BC70" s="1"/>
      <c r="BD70" s="1"/>
      <c r="BE70" s="1"/>
      <c r="BF70" s="1"/>
      <c r="BG70" s="1"/>
      <c r="BH70" s="1"/>
      <c r="BI70" s="1"/>
      <c r="BJ70" s="1"/>
      <c r="BK70" s="1"/>
      <c r="BL70" s="1"/>
      <c r="BM70" s="1"/>
      <c r="BN70" s="1"/>
      <c r="BO70" s="1"/>
      <c r="BP70" s="1"/>
    </row>
    <row r="71" spans="1:68" s="2" customFormat="1" x14ac:dyDescent="0.2">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c r="AY71" s="15"/>
      <c r="AZ71" s="15"/>
      <c r="BA71" s="1"/>
      <c r="BB71" s="1"/>
      <c r="BC71" s="1"/>
      <c r="BD71" s="1"/>
      <c r="BE71" s="1"/>
      <c r="BF71" s="1"/>
      <c r="BG71" s="1"/>
      <c r="BH71" s="1"/>
      <c r="BI71" s="1"/>
      <c r="BJ71" s="1"/>
      <c r="BK71" s="1"/>
      <c r="BL71" s="1"/>
      <c r="BM71" s="1"/>
      <c r="BN71" s="1"/>
      <c r="BO71" s="1"/>
      <c r="BP71" s="1"/>
    </row>
    <row r="72" spans="1:68" s="2" customFormat="1" x14ac:dyDescent="0.2">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c r="AV72" s="15"/>
      <c r="AW72" s="15"/>
      <c r="AX72" s="15"/>
      <c r="AY72" s="15"/>
      <c r="AZ72" s="15"/>
      <c r="BA72" s="1"/>
      <c r="BB72" s="1"/>
      <c r="BC72" s="1"/>
      <c r="BD72" s="1"/>
      <c r="BE72" s="1"/>
      <c r="BF72" s="1"/>
      <c r="BG72" s="1"/>
      <c r="BH72" s="1"/>
      <c r="BI72" s="1"/>
      <c r="BJ72" s="1"/>
      <c r="BK72" s="1"/>
      <c r="BL72" s="1"/>
      <c r="BM72" s="1"/>
      <c r="BN72" s="1"/>
      <c r="BO72" s="1"/>
      <c r="BP72" s="1"/>
    </row>
    <row r="73" spans="1:68" s="2" customFormat="1" x14ac:dyDescent="0.2">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AY73" s="15"/>
      <c r="AZ73" s="15"/>
      <c r="BA73" s="1"/>
      <c r="BB73" s="1"/>
      <c r="BC73" s="1"/>
      <c r="BD73" s="1"/>
      <c r="BE73" s="1"/>
      <c r="BF73" s="1"/>
      <c r="BG73" s="1"/>
      <c r="BH73" s="1"/>
      <c r="BI73" s="1"/>
      <c r="BJ73" s="1"/>
      <c r="BK73" s="1"/>
      <c r="BL73" s="1"/>
      <c r="BM73" s="1"/>
      <c r="BN73" s="1"/>
      <c r="BO73" s="1"/>
      <c r="BP73" s="1"/>
    </row>
    <row r="74" spans="1:68" s="2" customFormat="1" x14ac:dyDescent="0.2">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c r="AL74" s="15"/>
      <c r="AM74" s="15"/>
      <c r="AN74" s="15"/>
      <c r="AO74" s="15"/>
      <c r="AP74" s="15"/>
      <c r="AQ74" s="15"/>
      <c r="AR74" s="15"/>
      <c r="AS74" s="15"/>
      <c r="AT74" s="15"/>
      <c r="AU74" s="15"/>
      <c r="AV74" s="15"/>
      <c r="AW74" s="15"/>
      <c r="AX74" s="15"/>
      <c r="AY74" s="15"/>
      <c r="AZ74" s="15"/>
      <c r="BA74" s="1"/>
      <c r="BB74" s="1"/>
      <c r="BC74" s="1"/>
      <c r="BD74" s="1"/>
      <c r="BE74" s="1"/>
      <c r="BF74" s="1"/>
      <c r="BG74" s="1"/>
      <c r="BH74" s="1"/>
      <c r="BI74" s="1"/>
      <c r="BJ74" s="1"/>
      <c r="BK74" s="1"/>
      <c r="BL74" s="1"/>
      <c r="BM74" s="1"/>
      <c r="BN74" s="1"/>
      <c r="BO74" s="1"/>
      <c r="BP74" s="1"/>
    </row>
    <row r="75" spans="1:68" s="2" customFormat="1" x14ac:dyDescent="0.2">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c r="BA75" s="1"/>
      <c r="BB75" s="1"/>
      <c r="BC75" s="1"/>
      <c r="BD75" s="1"/>
      <c r="BE75" s="1"/>
      <c r="BF75" s="1"/>
      <c r="BG75" s="1"/>
      <c r="BH75" s="1"/>
      <c r="BI75" s="1"/>
      <c r="BJ75" s="1"/>
      <c r="BK75" s="1"/>
      <c r="BL75" s="1"/>
      <c r="BM75" s="1"/>
      <c r="BN75" s="1"/>
      <c r="BO75" s="1"/>
      <c r="BP75" s="1"/>
    </row>
    <row r="76" spans="1:68" s="2" customFormat="1" x14ac:dyDescent="0.2">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c r="AL76" s="15"/>
      <c r="AM76" s="15"/>
      <c r="AN76" s="15"/>
      <c r="AO76" s="15"/>
      <c r="AP76" s="15"/>
      <c r="AQ76" s="15"/>
      <c r="AR76" s="15"/>
      <c r="AS76" s="15"/>
      <c r="AT76" s="15"/>
      <c r="AU76" s="15"/>
      <c r="AV76" s="15"/>
      <c r="AW76" s="15"/>
      <c r="AX76" s="15"/>
      <c r="AY76" s="15"/>
      <c r="AZ76" s="15"/>
      <c r="BA76" s="1"/>
      <c r="BB76" s="1"/>
      <c r="BC76" s="1"/>
      <c r="BD76" s="1"/>
      <c r="BE76" s="1"/>
      <c r="BF76" s="1"/>
      <c r="BG76" s="1"/>
      <c r="BH76" s="1"/>
      <c r="BI76" s="1"/>
      <c r="BJ76" s="1"/>
      <c r="BK76" s="1"/>
      <c r="BL76" s="1"/>
      <c r="BM76" s="1"/>
      <c r="BN76" s="1"/>
      <c r="BO76" s="1"/>
      <c r="BP76" s="1"/>
    </row>
    <row r="77" spans="1:68" s="2" customFormat="1" x14ac:dyDescent="0.2">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AY77" s="15"/>
      <c r="AZ77" s="15"/>
      <c r="BA77" s="1"/>
      <c r="BB77" s="1"/>
      <c r="BC77" s="1"/>
      <c r="BD77" s="1"/>
      <c r="BE77" s="1"/>
      <c r="BF77" s="1"/>
      <c r="BG77" s="1"/>
      <c r="BH77" s="1"/>
      <c r="BI77" s="1"/>
      <c r="BJ77" s="1"/>
      <c r="BK77" s="1"/>
      <c r="BL77" s="1"/>
      <c r="BM77" s="1"/>
      <c r="BN77" s="1"/>
      <c r="BO77" s="1"/>
      <c r="BP77" s="1"/>
    </row>
    <row r="78" spans="1:68" s="2" customForma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row>
    <row r="79" spans="1:68" s="2" customForma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row>
    <row r="80" spans="1:68" s="2" customForma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row>
    <row r="81" spans="1:68" s="2" customForma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row>
    <row r="82" spans="1:68" s="2" customForma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row>
    <row r="83" spans="1:68" s="2" customForma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row>
    <row r="84" spans="1:68" s="2" customForma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row>
    <row r="85" spans="1:68" s="2" customForma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row>
    <row r="86" spans="1:68" s="2" customForma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row>
    <row r="87" spans="1:68" s="2" customForma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row>
    <row r="88" spans="1:68" s="2" customForma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row>
    <row r="89" spans="1:68" s="2" customForma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row>
    <row r="90" spans="1:68" s="2" customForma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row>
    <row r="91" spans="1:68" s="2" customForma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row>
    <row r="92" spans="1:68" s="2" customForma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row>
    <row r="93" spans="1:68" s="2" customForma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row>
    <row r="94" spans="1:68" s="2" customForma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row>
    <row r="95" spans="1:68" s="2" customForma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row>
    <row r="96" spans="1:68" s="2" customForma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row>
    <row r="97" spans="1:68" s="2" customForma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row>
    <row r="98" spans="1:68" s="2" customForma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row>
    <row r="99" spans="1:68" s="2" customForma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row>
    <row r="100" spans="1:68" s="2" customForma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row>
    <row r="101" spans="1:68" s="2" customForma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row>
    <row r="102" spans="1:68" s="2" customForma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row>
    <row r="103" spans="1:68" s="2" customForma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row>
    <row r="104" spans="1:68" s="2" customForma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row>
    <row r="105" spans="1:68" s="2" customForma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row>
    <row r="106" spans="1:68" s="2" customForma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row>
    <row r="107" spans="1:68" s="2" customForma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row>
    <row r="108" spans="1:68" s="2" customForma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row>
    <row r="109" spans="1:68" s="2" customForma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row>
    <row r="110" spans="1:68" s="2" customForma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row>
    <row r="111" spans="1:68" s="2" customForma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row>
    <row r="112" spans="1:68" s="2" customForma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row>
    <row r="113" spans="1:68" s="2" customForma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row>
    <row r="114" spans="1:68" s="2" customForma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row>
    <row r="115" spans="1:68" s="2" customForma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row>
    <row r="116" spans="1:68" s="2" customForma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row>
    <row r="117" spans="1:68" s="2" customForma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row>
    <row r="118" spans="1:68" s="2" customForma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row>
    <row r="119" spans="1:68" s="2" customForma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row>
    <row r="120" spans="1:68" s="2" customForma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row>
    <row r="121" spans="1:68" s="2" customForma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row>
    <row r="122" spans="1:68" s="2" customForma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row>
    <row r="123" spans="1:68" s="2" customForma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row>
    <row r="124" spans="1:68" s="2" customForma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row>
    <row r="125" spans="1:68" s="2" customForma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row>
    <row r="126" spans="1:68" s="2" customForma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row>
    <row r="127" spans="1:68" s="2" customForma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row>
    <row r="128" spans="1:68" s="2" customForma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row>
    <row r="129" spans="1:68" s="2" customForma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row>
    <row r="130" spans="1:68" s="2" customForma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row>
    <row r="131" spans="1:68" s="2" customForma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row>
    <row r="132" spans="1:68" s="2" customForma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row>
    <row r="133" spans="1:68" s="2" customForma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row>
    <row r="134" spans="1:68" s="2" customForma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row>
    <row r="135" spans="1:68" s="2" customForma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row>
    <row r="136" spans="1:68" s="2" customForma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row>
    <row r="137" spans="1:68" s="2" customForma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row>
    <row r="138" spans="1:68" s="2" customForma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row>
    <row r="139" spans="1:68" s="2" customForma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row>
    <row r="140" spans="1:68" s="2" customForma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row>
    <row r="141" spans="1:68" s="2" customForma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row>
    <row r="142" spans="1:68" s="2" customForma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row>
    <row r="143" spans="1:68" s="2" customForma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row>
    <row r="144" spans="1:68" s="2" customForma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row>
    <row r="145" spans="1:68" s="2" customForma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row>
    <row r="146" spans="1:68" s="2" customForma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row>
    <row r="147" spans="1:68" s="2" customForma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row>
    <row r="148" spans="1:68" s="2" customForma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row>
    <row r="149" spans="1:68" s="2" customForma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row>
    <row r="150" spans="1:68" s="2" customForma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row>
    <row r="151" spans="1:68" s="2" customForma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row>
    <row r="152" spans="1:68" s="2" customForma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row>
    <row r="153" spans="1:68" s="2" customForma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row>
    <row r="154" spans="1:68" s="2" customForma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row>
    <row r="155" spans="1:68" s="2" customForma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row>
    <row r="156" spans="1:68" s="2" customForma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row>
    <row r="157" spans="1:68" s="2" customForma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row>
    <row r="158" spans="1:68" s="2" customForma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row>
    <row r="159" spans="1:68" s="2" customForma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row>
    <row r="160" spans="1:68" s="2" customForma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row>
    <row r="161" spans="1:68" s="2" customForma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row>
    <row r="162" spans="1:68" s="2" customForma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row>
    <row r="163" spans="1:68" s="2" customForma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row>
    <row r="164" spans="1:68" s="2" customForma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row>
    <row r="165" spans="1:68" s="2" customForma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row>
    <row r="166" spans="1:68" s="2" customForma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row>
    <row r="167" spans="1:68" s="2" customForma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row>
    <row r="168" spans="1:68" s="2" customForma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row>
    <row r="169" spans="1:68" s="2" customForma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row>
    <row r="170" spans="1:68" s="2" customForma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row>
    <row r="171" spans="1:68" s="2" customForma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row>
    <row r="172" spans="1:68" s="2" customForma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row>
    <row r="173" spans="1:68" s="2" customForma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row>
    <row r="174" spans="1:68" s="2" customForma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row>
    <row r="175" spans="1:68" s="2" customForma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row>
    <row r="176" spans="1:68" s="2" customForma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row>
    <row r="177" spans="1:68" s="2" customForma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row>
    <row r="178" spans="1:68" s="2" customForma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row>
    <row r="179" spans="1:68" s="2" customForma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row>
    <row r="180" spans="1:68" s="2" customForma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row>
    <row r="181" spans="1:68" s="2" customForma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row>
    <row r="182" spans="1:68" s="2" customForma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row>
    <row r="183" spans="1:68" s="2" customForma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row>
    <row r="184" spans="1:68" s="2" customForma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row>
    <row r="185" spans="1:68" s="2" customForma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row>
    <row r="186" spans="1:68" s="2" customForma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row>
    <row r="187" spans="1:68" s="2" customForma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row>
    <row r="188" spans="1:68" s="2" customForma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row>
    <row r="189" spans="1:68" s="2" customForma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row>
    <row r="190" spans="1:68" s="2" customForma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row>
    <row r="191" spans="1:68" s="2" customForma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row>
    <row r="192" spans="1:68" s="2" customForma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row>
    <row r="193" spans="1:68" s="2" customForma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row>
    <row r="194" spans="1:68" s="2" customForma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row>
    <row r="195" spans="1:68" s="2" customForma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row>
    <row r="196" spans="1:68" s="2" customForma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row>
    <row r="197" spans="1:68" s="2" customForma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row>
    <row r="198" spans="1:68" s="2" customForma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row>
    <row r="199" spans="1:68" s="2" customForma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row>
    <row r="200" spans="1:68" s="2" customForma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row>
    <row r="201" spans="1:68" s="2" customForma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row>
    <row r="202" spans="1:68" s="2" customForma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row>
    <row r="203" spans="1:68" s="2" customForma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row>
    <row r="204" spans="1:68" s="2" customForma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row>
    <row r="205" spans="1:68" s="2" customForma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row>
    <row r="206" spans="1:68" s="2" customForma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row>
    <row r="207" spans="1:68" s="2" customForma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row>
    <row r="208" spans="1:68" s="2" customForma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row>
    <row r="209" spans="1:68" s="2" customForma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row>
    <row r="210" spans="1:68" s="2" customForma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row>
    <row r="211" spans="1:68" s="2" customForma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row>
    <row r="212" spans="1:68" s="2" customForma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row>
    <row r="213" spans="1:68" s="2" customForma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row>
    <row r="214" spans="1:68" s="2" customForma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row>
    <row r="215" spans="1:68" s="2" customForma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row>
    <row r="216" spans="1:68" s="2" customForma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row>
    <row r="217" spans="1:68" s="2" customForma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row>
    <row r="218" spans="1:68" s="2" customForma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row>
    <row r="219" spans="1:68" s="2" customForma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row>
    <row r="220" spans="1:68" s="2" customForma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row>
    <row r="221" spans="1:68" s="2" customForma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row>
    <row r="222" spans="1:68" s="2" customForma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row>
    <row r="223" spans="1:68" s="2" customForma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row>
    <row r="224" spans="1:68" s="2" customForma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row>
    <row r="225" spans="1:68" s="2" customForma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row>
    <row r="226" spans="1:68" s="2" customForma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row>
    <row r="227" spans="1:68" s="2" customForma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row>
    <row r="228" spans="1:68" s="2" customForma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row>
    <row r="229" spans="1:68" s="2" customForma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row>
    <row r="230" spans="1:68" s="2" customForma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row>
    <row r="231" spans="1:68" s="2" customForma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row>
    <row r="232" spans="1:68" s="2" customForma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row>
    <row r="233" spans="1:68" s="2" customForma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row>
    <row r="234" spans="1:68" s="2" customForma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row>
    <row r="235" spans="1:68" s="2" customForma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row>
    <row r="236" spans="1:68" s="2" customForma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row>
    <row r="237" spans="1:68" s="2" customForma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row>
    <row r="238" spans="1:68" s="2" customForma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row>
    <row r="239" spans="1:68" s="2" customForma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row>
    <row r="240" spans="1:68" s="2" customForma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row>
    <row r="241" spans="1:68" s="2" customForma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row>
    <row r="242" spans="1:68" s="2" customForma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row>
    <row r="243" spans="1:68" s="2" customForma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row>
    <row r="244" spans="1:68" s="2" customForma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row>
    <row r="245" spans="1:68" s="2" customForma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row>
    <row r="246" spans="1:68" s="2" customForma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row>
    <row r="247" spans="1:68" s="2" customForma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row>
    <row r="248" spans="1:68" s="2" customForma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row>
    <row r="249" spans="1:68" s="2" customForma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row>
    <row r="250" spans="1:68" s="2" customForma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row>
    <row r="251" spans="1:68" s="2" customForma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row>
    <row r="252" spans="1:68" s="2" customForma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row>
    <row r="253" spans="1:68" s="2" customForma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row>
    <row r="254" spans="1:68" s="2" customForma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row>
    <row r="255" spans="1:68" s="2" customForma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row>
    <row r="256" spans="1:68" s="2" customForma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row>
    <row r="257" spans="1:68" s="2" customForma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row>
    <row r="258" spans="1:68" s="2" customForma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row>
    <row r="259" spans="1:68" s="2" customForma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row>
    <row r="260" spans="1:68" s="2" customForma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row>
    <row r="261" spans="1:68" s="2" customForma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row>
    <row r="262" spans="1:68" s="2" customForma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row>
    <row r="263" spans="1:68" s="2" customForma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row>
    <row r="264" spans="1:68" s="2" customForma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row>
    <row r="265" spans="1:68" s="2" customForma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row>
    <row r="266" spans="1:68" s="2" customForma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row>
    <row r="267" spans="1:68" s="2" customForma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row>
    <row r="268" spans="1:68" s="2" customForma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row>
    <row r="269" spans="1:68" s="2" customForma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row>
    <row r="270" spans="1:68" s="2" customForma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row>
    <row r="271" spans="1:68" s="2" customForma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row>
    <row r="272" spans="1:68" s="2" customForma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row>
    <row r="273" spans="1:68" s="2" customForma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row>
    <row r="274" spans="1:68" s="2" customForma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row>
    <row r="275" spans="1:68" s="2" customForma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row>
    <row r="276" spans="1:68" s="2" customForma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row>
    <row r="277" spans="1:68" s="2" customForma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row>
    <row r="278" spans="1:68" s="2" customForma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row>
    <row r="279" spans="1:68" s="2" customForma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row>
    <row r="280" spans="1:68" s="2" customForma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row>
    <row r="281" spans="1:68" s="2" customForma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row>
    <row r="282" spans="1:68" s="2" customForma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row>
    <row r="283" spans="1:68" s="2" customForma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row>
    <row r="284" spans="1:68" s="2" customForma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row>
    <row r="285" spans="1:68" s="2" customForma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row>
    <row r="286" spans="1:68" s="2" customForma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row>
    <row r="287" spans="1:68" s="2" customForma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row>
    <row r="288" spans="1:68" s="2" customForma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row>
    <row r="289" spans="1:68" s="2" customForma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row>
    <row r="290" spans="1:68" s="2" customForma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row>
    <row r="291" spans="1:68" s="2" customForma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row>
    <row r="292" spans="1:68" s="2" customForma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row>
    <row r="293" spans="1:68" s="2" customForma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row>
    <row r="294" spans="1:68" s="2" customForma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row>
    <row r="295" spans="1:68" s="2" customForma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row>
    <row r="296" spans="1:68" s="2" customForma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row>
    <row r="297" spans="1:68" s="2" customForma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row>
    <row r="298" spans="1:68" s="2" customForma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row>
    <row r="299" spans="1:68" s="2" customForma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row>
    <row r="300" spans="1:68" s="2" customForma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row>
    <row r="301" spans="1:68" s="2" customForma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row>
    <row r="302" spans="1:68" s="2" customForma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row>
    <row r="303" spans="1:68" s="2" customForma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row>
    <row r="304" spans="1:68" s="2" customForma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row>
    <row r="305" spans="1:68" s="2" customForma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row>
    <row r="306" spans="1:68" s="2" customForma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row>
    <row r="307" spans="1:68" s="2" customForma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row>
    <row r="308" spans="1:68" s="2" customForma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row>
    <row r="309" spans="1:68" s="2" customForma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row>
    <row r="310" spans="1:68" s="2" customForma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row>
    <row r="311" spans="1:68" s="2" customForma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row>
    <row r="312" spans="1:68" s="2" customForma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row>
    <row r="313" spans="1:68" s="2" customForma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row>
    <row r="314" spans="1:68" s="2" customForma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row>
    <row r="315" spans="1:68" s="2" customForma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row>
    <row r="316" spans="1:68" s="2" customForma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row>
    <row r="317" spans="1:68" s="2" customForma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row>
    <row r="318" spans="1:68" s="2" customForma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row>
    <row r="319" spans="1:68" s="2" customForma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row>
    <row r="320" spans="1:68" s="2" customForma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row>
    <row r="321" spans="1:68" s="2" customForma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row>
    <row r="322" spans="1:68" s="2" customForma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row>
    <row r="323" spans="1:68" s="2" customForma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row>
    <row r="324" spans="1:68" s="2" customForma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row>
    <row r="325" spans="1:68" s="2" customForma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row>
    <row r="326" spans="1:68" s="2" customForma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row>
    <row r="327" spans="1:68" s="2" customForma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row>
    <row r="328" spans="1:68" s="2" customForma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row>
    <row r="329" spans="1:68" s="2" customForma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row>
    <row r="330" spans="1:68" s="2" customForma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row>
    <row r="331" spans="1:68" s="2" customForma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row>
    <row r="332" spans="1:68" s="2" customForma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row>
    <row r="333" spans="1:68" s="2" customForma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row>
    <row r="334" spans="1:68" s="2" customForma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row>
    <row r="335" spans="1:68" s="2" customForma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row>
    <row r="336" spans="1:68" s="2" customForma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row>
    <row r="337" spans="1:68" s="2" customForma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row>
    <row r="338" spans="1:68" s="2" customForma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row>
    <row r="339" spans="1:68" s="2" customForma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row>
    <row r="340" spans="1:68" s="2" customForma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row>
    <row r="341" spans="1:68" s="2" customForma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row>
    <row r="342" spans="1:68" s="2" customForma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row>
    <row r="343" spans="1:68" s="2" customForma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row>
    <row r="344" spans="1:68" s="2" customForma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row>
    <row r="345" spans="1:68" s="2" customForma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row>
    <row r="346" spans="1:68" s="2" customForma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row>
    <row r="347" spans="1:68" s="2" customForma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row>
    <row r="348" spans="1:68" s="2" customForma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row>
    <row r="349" spans="1:68" s="2" customForma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row>
    <row r="350" spans="1:68" s="2" customForma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row>
    <row r="351" spans="1:68" s="2" customForma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row>
    <row r="352" spans="1:68" s="2" customForma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row>
    <row r="353" spans="1:68" s="2" customForma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row>
    <row r="354" spans="1:68" s="2" customForma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row>
    <row r="355" spans="1:68" s="2" customForma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row>
    <row r="356" spans="1:68" s="2" customForma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row>
    <row r="357" spans="1:68" s="2" customForma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row>
    <row r="358" spans="1:68" s="2" customForma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row>
    <row r="359" spans="1:68" s="2" customForma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row>
    <row r="360" spans="1:68" s="2" customForma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row>
    <row r="361" spans="1:68" s="2" customForma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row>
    <row r="362" spans="1:68" s="2" customForma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row>
    <row r="363" spans="1:68" s="2" customForma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row>
    <row r="364" spans="1:68" s="2" customForma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row>
    <row r="365" spans="1:68" s="2" customForma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row>
    <row r="366" spans="1:68" s="2" customForma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row>
    <row r="367" spans="1:68" s="2" customForma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row>
    <row r="368" spans="1:68" s="2" customForma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row>
    <row r="369" spans="1:68" s="2" customForma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row>
    <row r="370" spans="1:68" s="2" customForma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row>
    <row r="371" spans="1:68" s="2" customForma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row>
    <row r="372" spans="1:68" s="2" customForma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row>
    <row r="373" spans="1:68" s="2" customForma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row>
    <row r="374" spans="1:68" s="2" customForma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row>
    <row r="375" spans="1:68" s="2" customForma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row>
    <row r="376" spans="1:68" s="2" customForma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row>
    <row r="377" spans="1:68" s="2" customForma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row>
    <row r="378" spans="1:68" s="2" customForma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row>
    <row r="379" spans="1:68" s="2" customForma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row>
    <row r="380" spans="1:68" s="2" customForma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row>
    <row r="381" spans="1:68" s="2" customForma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row>
    <row r="382" spans="1:68" s="2" customForma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row>
    <row r="383" spans="1:68" s="2" customForma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row>
    <row r="384" spans="1:68" s="2" customForma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row>
    <row r="385" spans="1:68" s="2" customForma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row>
    <row r="386" spans="1:68" s="2" customForma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row>
    <row r="387" spans="1:68" s="2" customForma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row>
    <row r="388" spans="1:68" s="2" customForma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row>
    <row r="389" spans="1:68" s="2" customForma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row>
    <row r="390" spans="1:68" s="2" customForma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row>
    <row r="391" spans="1:68" s="2" customForma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row>
    <row r="392" spans="1:68" s="2" customForma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row>
    <row r="393" spans="1:68" s="2" customForma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row>
    <row r="394" spans="1:68" s="2" customForma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row>
    <row r="395" spans="1:68" s="2" customForma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row>
    <row r="396" spans="1:68" s="2" customForma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row>
    <row r="397" spans="1:68" s="2" customForma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row>
    <row r="398" spans="1:68" s="2" customForma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row>
    <row r="399" spans="1:68" s="2" customForma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row>
    <row r="400" spans="1:68" s="2" customForma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row>
    <row r="401" spans="1:68" s="2" customForma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row>
    <row r="402" spans="1:68" s="2" customForma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row>
    <row r="403" spans="1:68" s="2" customForma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row>
    <row r="404" spans="1:68" s="2" customForma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row>
    <row r="405" spans="1:68" s="2" customForma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row>
    <row r="406" spans="1:68" s="2" customForma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row>
    <row r="407" spans="1:68" s="2" customForma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row>
    <row r="408" spans="1:68" s="2" customForma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row>
    <row r="409" spans="1:68" s="2" customForma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row>
    <row r="410" spans="1:68" s="2" customForma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row>
    <row r="411" spans="1:68" s="2" customForma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row>
    <row r="412" spans="1:68" s="2" customForma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row>
    <row r="413" spans="1:68" s="2" customForma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row>
    <row r="414" spans="1:68" s="2" customForma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row>
    <row r="415" spans="1:68" s="2" customForma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row>
    <row r="416" spans="1:68" s="2" customForma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row>
    <row r="417" spans="1:68" s="2" customForma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row>
    <row r="418" spans="1:68" s="2" customForma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row>
    <row r="419" spans="1:68" s="2" customForma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row>
    <row r="420" spans="1:68" s="2" customForma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row>
    <row r="421" spans="1:68" s="2" customForma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row>
    <row r="422" spans="1:68" s="2" customForma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row>
    <row r="423" spans="1:68" s="2" customForma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row>
    <row r="424" spans="1:68" s="2" customForma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row>
    <row r="425" spans="1:68" s="2" customForma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row>
    <row r="426" spans="1:68" s="2" customForma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row>
    <row r="427" spans="1:68" s="2" customForma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row>
    <row r="428" spans="1:68" s="2" customForma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row>
    <row r="429" spans="1:68" s="2" customForma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row>
    <row r="430" spans="1:68" s="2" customForma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row>
    <row r="431" spans="1:68" s="2" customForma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row>
    <row r="432" spans="1:68" s="2" customForma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row>
    <row r="433" spans="1:68" s="2" customForma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row>
    <row r="434" spans="1:68" s="2" customForma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row>
    <row r="435" spans="1:68" s="2" customForma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row>
    <row r="436" spans="1:68" s="2" customForma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row>
    <row r="437" spans="1:68" s="2" customForma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row>
    <row r="438" spans="1:68" s="2" customForma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row>
    <row r="439" spans="1:68" s="2" customForma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row>
    <row r="440" spans="1:68" s="2" customForma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row>
    <row r="441" spans="1:68" s="2" customForma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row>
    <row r="442" spans="1:68" s="2" customForma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row>
    <row r="443" spans="1:68" s="2" customForma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row>
    <row r="444" spans="1:68" s="2" customForma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row>
    <row r="445" spans="1:68" s="2" customForma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row>
    <row r="446" spans="1:68" s="2" customForma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row>
    <row r="447" spans="1:68" s="2" customForma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row>
    <row r="448" spans="1:68" s="2" customForma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row>
    <row r="449" spans="1:68" s="2" customForma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row>
    <row r="450" spans="1:68" s="2" customForma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row>
    <row r="451" spans="1:68" s="2" customForma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row>
    <row r="452" spans="1:68" s="2" customForma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row>
    <row r="453" spans="1:68" s="2" customForma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row>
    <row r="454" spans="1:68" s="2" customForma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row>
    <row r="455" spans="1:68" s="2" customForma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row>
    <row r="456" spans="1:68" s="2" customForma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row>
    <row r="457" spans="1:68" s="2" customForma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row>
    <row r="458" spans="1:68" s="2" customForma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row>
    <row r="459" spans="1:68" s="2" customForma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row>
    <row r="460" spans="1:68" s="2" customForma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row>
    <row r="461" spans="1:68" s="2" customForma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row>
    <row r="462" spans="1:68" s="2" customForma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row>
    <row r="463" spans="1:68" s="2" customForma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row>
    <row r="464" spans="1:68" s="2" customForma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row>
    <row r="465" spans="1:68" s="2" customForma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row>
    <row r="466" spans="1:68" s="2" customForma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row>
    <row r="467" spans="1:68" s="2" customForma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row>
    <row r="468" spans="1:68" s="2" customForma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row>
    <row r="469" spans="1:68" s="2" customForma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row>
    <row r="470" spans="1:68" s="2" customForma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row>
    <row r="471" spans="1:68" s="2" customForma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row>
    <row r="472" spans="1:68" s="2" customForma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row>
    <row r="473" spans="1:68" s="2" customForma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row>
    <row r="474" spans="1:68" s="2" customForma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row>
    <row r="475" spans="1:68" s="2" customForma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row>
    <row r="476" spans="1:68" s="2" customForma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row>
    <row r="477" spans="1:68" s="2" customForma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row>
    <row r="478" spans="1:68" s="2" customForma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row>
    <row r="479" spans="1:68" s="2" customForma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row>
    <row r="480" spans="1:68" s="2" customForma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row>
    <row r="481" spans="1:68" s="2" customForma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row>
    <row r="482" spans="1:68" s="2" customForma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row>
    <row r="483" spans="1:68" s="2" customForma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row>
    <row r="484" spans="1:68" s="2" customForma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row>
    <row r="485" spans="1:68" s="2" customForma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row>
    <row r="486" spans="1:68" s="2" customForma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row>
    <row r="487" spans="1:68" s="2" customForma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row>
    <row r="488" spans="1:68" s="2" customForma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row>
    <row r="489" spans="1:68" s="2" customForma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row>
    <row r="490" spans="1:68" s="2" customForma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row>
    <row r="491" spans="1:68" s="2" customForma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row>
    <row r="492" spans="1:68" s="2" customForma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row>
    <row r="493" spans="1:68" s="2" customForma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row>
    <row r="494" spans="1:68" s="2" customForma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row>
    <row r="495" spans="1:68" s="2" customForma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row>
    <row r="496" spans="1:68" s="2" customForma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row>
    <row r="497" spans="1:68" s="2" customForma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row>
    <row r="498" spans="1:68" s="2" customForma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row>
    <row r="499" spans="1:68" s="2" customForma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row>
    <row r="500" spans="1:68" s="2" customForma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row>
    <row r="501" spans="1:68" s="2" customForma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row>
    <row r="502" spans="1:68" s="2" customForma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row>
    <row r="503" spans="1:68" s="2" customForma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row>
    <row r="504" spans="1:68" s="2" customForma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row>
    <row r="505" spans="1:68" s="2" customForma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row>
    <row r="506" spans="1:68" s="2" customForma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row>
    <row r="507" spans="1:68" s="2" customForma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row>
    <row r="508" spans="1:68" s="2" customForma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row>
    <row r="509" spans="1:68" s="2" customForma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row>
    <row r="510" spans="1:68" s="2" customForma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row>
    <row r="511" spans="1:68" s="2" customForma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row>
    <row r="512" spans="1:68" s="2" customForma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row>
    <row r="513" spans="1:68" s="2" customForma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row>
    <row r="514" spans="1:68" s="2" customForma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row>
    <row r="515" spans="1:68" s="2" customForma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row>
    <row r="516" spans="1:68" s="2" customForma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row>
    <row r="517" spans="1:68" s="2" customForma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row>
    <row r="518" spans="1:68" s="2" customForma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row>
    <row r="519" spans="1:68" s="2" customForma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row>
    <row r="520" spans="1:68" s="2" customForma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row>
    <row r="521" spans="1:68" s="2" customForma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row>
    <row r="522" spans="1:68" s="2" customForma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row>
    <row r="523" spans="1:68" s="2" customForma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row>
    <row r="524" spans="1:68" s="2" customFormat="1" x14ac:dyDescent="0.2">
      <c r="A524" s="1"/>
      <c r="B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row>
    <row r="525" spans="1:68" s="2" customFormat="1" x14ac:dyDescent="0.2">
      <c r="A525" s="1"/>
      <c r="B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row>
    <row r="526" spans="1:68" s="2" customFormat="1" x14ac:dyDescent="0.2">
      <c r="A526" s="1"/>
      <c r="B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row>
    <row r="527" spans="1:68" s="2" customFormat="1" x14ac:dyDescent="0.2">
      <c r="A527" s="1"/>
      <c r="B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row>
    <row r="528" spans="1:68" s="2" customFormat="1" x14ac:dyDescent="0.2">
      <c r="A528" s="1"/>
      <c r="B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row>
    <row r="529" spans="1:68" s="2" customFormat="1" x14ac:dyDescent="0.2">
      <c r="A529" s="1"/>
      <c r="B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row>
  </sheetData>
  <sheetProtection selectLockedCells="1" selectUnlockedCells="1"/>
  <mergeCells count="94">
    <mergeCell ref="AC7:AE7"/>
    <mergeCell ref="D8:F8"/>
    <mergeCell ref="H8:J8"/>
    <mergeCell ref="Y8:AA8"/>
    <mergeCell ref="AC8:AE8"/>
    <mergeCell ref="V9:W11"/>
    <mergeCell ref="D7:F7"/>
    <mergeCell ref="H7:J7"/>
    <mergeCell ref="L7:W8"/>
    <mergeCell ref="Y7:AA7"/>
    <mergeCell ref="L9:M11"/>
    <mergeCell ref="N9:O11"/>
    <mergeCell ref="P9:Q11"/>
    <mergeCell ref="R9:S11"/>
    <mergeCell ref="T9:U11"/>
    <mergeCell ref="T12:U12"/>
    <mergeCell ref="V12:W12"/>
    <mergeCell ref="L13:M15"/>
    <mergeCell ref="N13:N15"/>
    <mergeCell ref="O13:O15"/>
    <mergeCell ref="P13:P15"/>
    <mergeCell ref="Q13:Q15"/>
    <mergeCell ref="R13:R15"/>
    <mergeCell ref="S13:S15"/>
    <mergeCell ref="T13:U15"/>
    <mergeCell ref="V13:W15"/>
    <mergeCell ref="L16:M18"/>
    <mergeCell ref="N16:N18"/>
    <mergeCell ref="O16:O18"/>
    <mergeCell ref="P16:P18"/>
    <mergeCell ref="Q16:Q18"/>
    <mergeCell ref="R16:R18"/>
    <mergeCell ref="S16:S18"/>
    <mergeCell ref="T16:U18"/>
    <mergeCell ref="V16:W18"/>
    <mergeCell ref="S19:S21"/>
    <mergeCell ref="T19:U21"/>
    <mergeCell ref="V19:W21"/>
    <mergeCell ref="R22:R24"/>
    <mergeCell ref="S22:S24"/>
    <mergeCell ref="L19:M21"/>
    <mergeCell ref="N19:N21"/>
    <mergeCell ref="O19:O21"/>
    <mergeCell ref="P19:P21"/>
    <mergeCell ref="Q19:Q21"/>
    <mergeCell ref="R19:R21"/>
    <mergeCell ref="L22:M24"/>
    <mergeCell ref="N22:N24"/>
    <mergeCell ref="O22:O24"/>
    <mergeCell ref="P22:P24"/>
    <mergeCell ref="Q22:Q24"/>
    <mergeCell ref="D26:F26"/>
    <mergeCell ref="H26:J26"/>
    <mergeCell ref="Y26:AA26"/>
    <mergeCell ref="AC26:AE26"/>
    <mergeCell ref="T22:U24"/>
    <mergeCell ref="V22:W24"/>
    <mergeCell ref="D25:F25"/>
    <mergeCell ref="H25:J25"/>
    <mergeCell ref="L25:M27"/>
    <mergeCell ref="N25:N27"/>
    <mergeCell ref="O25:O27"/>
    <mergeCell ref="P25:P27"/>
    <mergeCell ref="Q25:Q27"/>
    <mergeCell ref="R25:R27"/>
    <mergeCell ref="S25:S27"/>
    <mergeCell ref="T25:U27"/>
    <mergeCell ref="V25:W27"/>
    <mergeCell ref="Y25:AA25"/>
    <mergeCell ref="AC25:AE25"/>
    <mergeCell ref="S28:S30"/>
    <mergeCell ref="T28:U30"/>
    <mergeCell ref="V28:W30"/>
    <mergeCell ref="R28:R30"/>
    <mergeCell ref="L31:M33"/>
    <mergeCell ref="N31:N33"/>
    <mergeCell ref="O31:O33"/>
    <mergeCell ref="P31:P33"/>
    <mergeCell ref="Q31:Q33"/>
    <mergeCell ref="L28:M30"/>
    <mergeCell ref="N28:N30"/>
    <mergeCell ref="O28:O30"/>
    <mergeCell ref="P28:P30"/>
    <mergeCell ref="Q28:Q30"/>
    <mergeCell ref="T31:U33"/>
    <mergeCell ref="V31:W33"/>
    <mergeCell ref="L36:W37"/>
    <mergeCell ref="L38:M42"/>
    <mergeCell ref="N38:U38"/>
    <mergeCell ref="V38:W42"/>
    <mergeCell ref="N41:U41"/>
    <mergeCell ref="N42:U42"/>
    <mergeCell ref="R31:R33"/>
    <mergeCell ref="S31:S33"/>
  </mergeCells>
  <conditionalFormatting sqref="N13:O13 N16:O16 N19:O19 N22:O22 N25:O25 N28:O28 N31:O31">
    <cfRule type="cellIs" dxfId="8" priority="6" operator="greaterThan">
      <formula>0</formula>
    </cfRule>
  </conditionalFormatting>
  <conditionalFormatting sqref="V13">
    <cfRule type="cellIs" dxfId="7" priority="2" operator="greaterThan">
      <formula>$T$13</formula>
    </cfRule>
  </conditionalFormatting>
  <conditionalFormatting sqref="V25">
    <cfRule type="cellIs" dxfId="6" priority="5" operator="greaterThan">
      <formula>$T$25</formula>
    </cfRule>
  </conditionalFormatting>
  <conditionalFormatting sqref="V28">
    <cfRule type="cellIs" dxfId="5" priority="4" operator="greaterThan">
      <formula>$T$25</formula>
    </cfRule>
  </conditionalFormatting>
  <conditionalFormatting sqref="V31">
    <cfRule type="cellIs" dxfId="4" priority="1" operator="lessThan">
      <formula>0.2</formula>
    </cfRule>
  </conditionalFormatting>
  <pageMargins left="0.25" right="0.25" top="0.75" bottom="0.25" header="0.3" footer="0.3"/>
  <pageSetup paperSize="3" scale="63"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A941A-A655-4933-A66F-D3CD39D81B7C}">
  <sheetPr codeName="Sheet2"/>
  <dimension ref="A1:LU54"/>
  <sheetViews>
    <sheetView zoomScale="85" zoomScaleNormal="85" workbookViewId="0">
      <selection activeCell="J49" sqref="J49"/>
    </sheetView>
  </sheetViews>
  <sheetFormatPr defaultRowHeight="15" x14ac:dyDescent="0.25"/>
  <cols>
    <col min="4" max="4" width="9.7109375" bestFit="1" customWidth="1"/>
    <col min="5" max="5" width="9.7109375" customWidth="1"/>
    <col min="6" max="6" width="28.7109375" bestFit="1" customWidth="1"/>
    <col min="7" max="7" width="19.42578125" bestFit="1" customWidth="1"/>
    <col min="8" max="8" width="14.42578125" bestFit="1" customWidth="1"/>
    <col min="9" max="9" width="27.85546875" bestFit="1" customWidth="1"/>
    <col min="10" max="10" width="38.85546875" bestFit="1" customWidth="1"/>
    <col min="11" max="11" width="29.85546875" hidden="1" customWidth="1"/>
    <col min="12" max="12" width="29.140625" hidden="1" customWidth="1"/>
    <col min="13" max="13" width="36.140625" customWidth="1"/>
    <col min="14" max="14" width="17" bestFit="1" customWidth="1"/>
    <col min="15" max="15" width="12" bestFit="1" customWidth="1"/>
    <col min="16" max="16" width="12.42578125" bestFit="1" customWidth="1"/>
    <col min="17" max="17" width="10.5703125" bestFit="1" customWidth="1"/>
    <col min="18" max="18" width="10.5703125" customWidth="1"/>
    <col min="19" max="19" width="20.42578125" bestFit="1" customWidth="1"/>
  </cols>
  <sheetData>
    <row r="1" spans="3:27" ht="21" x14ac:dyDescent="0.35">
      <c r="D1" s="812" t="s">
        <v>415</v>
      </c>
    </row>
    <row r="4" spans="3:27" x14ac:dyDescent="0.25">
      <c r="C4" s="786" t="s">
        <v>394</v>
      </c>
      <c r="D4" s="787" t="s">
        <v>150</v>
      </c>
      <c r="E4" s="787" t="s">
        <v>218</v>
      </c>
      <c r="F4" s="787" t="s">
        <v>200</v>
      </c>
      <c r="G4" s="787" t="s">
        <v>210</v>
      </c>
      <c r="H4" s="787" t="s">
        <v>209</v>
      </c>
      <c r="I4" s="787" t="s">
        <v>366</v>
      </c>
      <c r="J4" s="787" t="s">
        <v>365</v>
      </c>
      <c r="K4" s="787" t="s">
        <v>201</v>
      </c>
      <c r="L4" s="787" t="s">
        <v>202</v>
      </c>
      <c r="M4" s="787" t="s">
        <v>203</v>
      </c>
      <c r="N4" s="787" t="s">
        <v>204</v>
      </c>
      <c r="O4" s="787" t="s">
        <v>205</v>
      </c>
      <c r="P4" s="787" t="s">
        <v>208</v>
      </c>
      <c r="Q4" s="787" t="s">
        <v>206</v>
      </c>
      <c r="R4" s="787" t="s">
        <v>367</v>
      </c>
      <c r="S4" s="787" t="s">
        <v>207</v>
      </c>
    </row>
    <row r="5" spans="3:27" hidden="1" x14ac:dyDescent="0.25">
      <c r="C5">
        <v>2022</v>
      </c>
      <c r="D5" s="451" t="s">
        <v>60</v>
      </c>
      <c r="E5" s="456">
        <v>0</v>
      </c>
      <c r="F5" s="273">
        <v>0</v>
      </c>
      <c r="G5" s="273">
        <v>0</v>
      </c>
      <c r="H5" s="273">
        <v>2</v>
      </c>
      <c r="I5" s="273"/>
      <c r="J5" s="273">
        <v>2</v>
      </c>
      <c r="K5" s="294">
        <v>21429.25</v>
      </c>
      <c r="L5" s="294">
        <v>13144</v>
      </c>
      <c r="M5" s="294">
        <f>SUM(K5:L5)</f>
        <v>34573.25</v>
      </c>
      <c r="N5" s="461">
        <f>M5</f>
        <v>34573.25</v>
      </c>
      <c r="O5" s="294">
        <f>F5*200000/N5</f>
        <v>0</v>
      </c>
      <c r="P5" s="294">
        <f>G5*200000/N5</f>
        <v>0</v>
      </c>
      <c r="Q5" s="294">
        <f>H5*200000/M5</f>
        <v>11.569638376490495</v>
      </c>
      <c r="R5" s="294"/>
      <c r="S5" s="294">
        <f>J5*200000/M5</f>
        <v>11.569638376490495</v>
      </c>
      <c r="U5" t="s">
        <v>330</v>
      </c>
      <c r="V5">
        <v>1</v>
      </c>
      <c r="W5">
        <v>3</v>
      </c>
      <c r="X5">
        <v>1</v>
      </c>
      <c r="Y5">
        <v>1</v>
      </c>
      <c r="Z5">
        <v>0</v>
      </c>
      <c r="AA5">
        <v>0</v>
      </c>
    </row>
    <row r="6" spans="3:27" hidden="1" x14ac:dyDescent="0.25">
      <c r="C6">
        <v>2022</v>
      </c>
      <c r="D6" s="451" t="s">
        <v>59</v>
      </c>
      <c r="E6" s="456">
        <v>0</v>
      </c>
      <c r="F6" s="273">
        <v>0</v>
      </c>
      <c r="G6" s="273">
        <v>0</v>
      </c>
      <c r="H6" s="273">
        <v>9</v>
      </c>
      <c r="I6" s="273"/>
      <c r="J6" s="273">
        <v>6</v>
      </c>
      <c r="K6" s="294">
        <v>20979.5</v>
      </c>
      <c r="L6" s="294">
        <v>13144</v>
      </c>
      <c r="M6" s="294">
        <f>SUM(K6:L6)</f>
        <v>34123.5</v>
      </c>
      <c r="N6" s="461">
        <f>SUM(M5:M6)</f>
        <v>68696.75</v>
      </c>
      <c r="O6" s="294">
        <f>F6*200000/N6</f>
        <v>0</v>
      </c>
      <c r="P6" s="294">
        <f t="shared" ref="P6:P16" si="0">G6*200000/N6</f>
        <v>0</v>
      </c>
      <c r="Q6" s="294">
        <f>H6*200000/M6</f>
        <v>52.749571409732297</v>
      </c>
      <c r="R6" s="294"/>
      <c r="S6" s="294">
        <f t="shared" ref="S6:S16" si="1">J6*200000/M6</f>
        <v>35.166380939821529</v>
      </c>
    </row>
    <row r="7" spans="3:27" hidden="1" x14ac:dyDescent="0.25">
      <c r="C7">
        <v>2022</v>
      </c>
      <c r="D7" s="451" t="s">
        <v>58</v>
      </c>
      <c r="E7" s="456">
        <v>0</v>
      </c>
      <c r="F7" s="273">
        <v>0</v>
      </c>
      <c r="G7" s="273">
        <v>0</v>
      </c>
      <c r="H7" s="273">
        <v>7</v>
      </c>
      <c r="I7" s="273"/>
      <c r="J7" s="273">
        <v>4</v>
      </c>
      <c r="K7" s="294">
        <v>23804.5</v>
      </c>
      <c r="L7" s="294">
        <v>13144</v>
      </c>
      <c r="M7" s="294">
        <f>SUM(K7:L7)</f>
        <v>36948.5</v>
      </c>
      <c r="N7" s="461">
        <f>SUM(M5:M7)</f>
        <v>105645.25</v>
      </c>
      <c r="O7" s="294">
        <f t="shared" ref="O7:O14" si="2">F7*200000/N7</f>
        <v>0</v>
      </c>
      <c r="P7" s="294">
        <f t="shared" si="0"/>
        <v>0</v>
      </c>
      <c r="Q7" s="294">
        <f t="shared" ref="Q7:Q16" si="3">H7*200000/M7</f>
        <v>37.890577425335266</v>
      </c>
      <c r="R7" s="294"/>
      <c r="S7" s="294">
        <f t="shared" si="1"/>
        <v>21.651758528763008</v>
      </c>
    </row>
    <row r="8" spans="3:27" hidden="1" x14ac:dyDescent="0.25">
      <c r="C8">
        <v>2022</v>
      </c>
      <c r="D8" s="451" t="s">
        <v>57</v>
      </c>
      <c r="E8" s="456">
        <v>0</v>
      </c>
      <c r="F8" s="273">
        <v>0</v>
      </c>
      <c r="G8" s="273">
        <v>0</v>
      </c>
      <c r="H8" s="273">
        <v>9</v>
      </c>
      <c r="I8" s="273"/>
      <c r="J8" s="273">
        <v>5</v>
      </c>
      <c r="K8" s="294">
        <v>22352.3</v>
      </c>
      <c r="L8" s="294">
        <v>13144</v>
      </c>
      <c r="M8" s="294">
        <f>SUM(K8:L8)</f>
        <v>35496.300000000003</v>
      </c>
      <c r="N8" s="461">
        <f>SUM(M5:M8)</f>
        <v>141141.54999999999</v>
      </c>
      <c r="O8" s="294">
        <f t="shared" si="2"/>
        <v>0</v>
      </c>
      <c r="P8" s="294">
        <f t="shared" si="0"/>
        <v>0</v>
      </c>
      <c r="Q8" s="294">
        <f t="shared" si="3"/>
        <v>50.709510568707159</v>
      </c>
      <c r="R8" s="294"/>
      <c r="S8" s="294">
        <f t="shared" si="1"/>
        <v>28.171950315948422</v>
      </c>
    </row>
    <row r="9" spans="3:27" hidden="1" x14ac:dyDescent="0.25">
      <c r="C9">
        <v>2022</v>
      </c>
      <c r="D9" s="451" t="s">
        <v>56</v>
      </c>
      <c r="E9" s="456">
        <v>0</v>
      </c>
      <c r="F9" s="273">
        <v>0</v>
      </c>
      <c r="G9" s="273">
        <v>0</v>
      </c>
      <c r="H9" s="273">
        <v>17</v>
      </c>
      <c r="I9" s="273"/>
      <c r="J9" s="273">
        <v>5</v>
      </c>
      <c r="K9" s="294">
        <v>21748.25</v>
      </c>
      <c r="L9" s="294">
        <v>13144</v>
      </c>
      <c r="M9" s="294">
        <f t="shared" ref="M9:M16" si="4">SUM(K9:L9)</f>
        <v>34892.25</v>
      </c>
      <c r="N9" s="461">
        <f>SUM(M5:M9)</f>
        <v>176033.8</v>
      </c>
      <c r="O9" s="294">
        <f t="shared" si="2"/>
        <v>0</v>
      </c>
      <c r="P9" s="294">
        <f t="shared" si="0"/>
        <v>0</v>
      </c>
      <c r="Q9" s="294">
        <f t="shared" si="3"/>
        <v>97.442841891824116</v>
      </c>
      <c r="R9" s="294"/>
      <c r="S9" s="294">
        <f t="shared" si="1"/>
        <v>28.65965937994827</v>
      </c>
    </row>
    <row r="10" spans="3:27" hidden="1" x14ac:dyDescent="0.25">
      <c r="C10">
        <v>2022</v>
      </c>
      <c r="D10" s="451" t="s">
        <v>55</v>
      </c>
      <c r="E10" s="456">
        <v>0</v>
      </c>
      <c r="F10" s="273">
        <v>0</v>
      </c>
      <c r="G10" s="273">
        <v>1</v>
      </c>
      <c r="H10" s="273">
        <v>15</v>
      </c>
      <c r="I10" s="273"/>
      <c r="J10" s="273">
        <v>1</v>
      </c>
      <c r="K10" s="457">
        <v>21426.75</v>
      </c>
      <c r="L10" s="294">
        <v>13144</v>
      </c>
      <c r="M10" s="294">
        <f t="shared" si="4"/>
        <v>34570.75</v>
      </c>
      <c r="N10" s="461">
        <f>SUM(M5:M10)</f>
        <v>210604.55</v>
      </c>
      <c r="O10" s="294">
        <f t="shared" si="2"/>
        <v>0</v>
      </c>
      <c r="P10" s="294">
        <f t="shared" si="0"/>
        <v>0.9496470992673236</v>
      </c>
      <c r="Q10" s="294">
        <f t="shared" si="3"/>
        <v>86.778562802369052</v>
      </c>
      <c r="R10" s="294"/>
      <c r="S10" s="294">
        <f t="shared" si="1"/>
        <v>5.7852375201579367</v>
      </c>
    </row>
    <row r="11" spans="3:27" hidden="1" x14ac:dyDescent="0.25">
      <c r="C11">
        <v>2022</v>
      </c>
      <c r="D11" s="451" t="s">
        <v>54</v>
      </c>
      <c r="E11" s="456">
        <v>0</v>
      </c>
      <c r="F11" s="273">
        <v>0</v>
      </c>
      <c r="G11" s="273">
        <v>0</v>
      </c>
      <c r="H11" s="273">
        <v>9</v>
      </c>
      <c r="I11" s="273"/>
      <c r="J11" s="273">
        <v>1</v>
      </c>
      <c r="K11" s="460">
        <v>21953.25</v>
      </c>
      <c r="L11" s="294">
        <v>13144</v>
      </c>
      <c r="M11" s="294">
        <f t="shared" si="4"/>
        <v>35097.25</v>
      </c>
      <c r="N11" s="461">
        <f>SUM(M5:M11)</f>
        <v>245701.8</v>
      </c>
      <c r="O11" s="294">
        <f t="shared" si="2"/>
        <v>0</v>
      </c>
      <c r="P11" s="294">
        <f t="shared" si="0"/>
        <v>0</v>
      </c>
      <c r="Q11" s="294">
        <f t="shared" si="3"/>
        <v>51.286069421393414</v>
      </c>
      <c r="R11" s="294"/>
      <c r="S11" s="294">
        <f t="shared" si="1"/>
        <v>5.6984521579326017</v>
      </c>
    </row>
    <row r="12" spans="3:27" hidden="1" x14ac:dyDescent="0.25">
      <c r="C12">
        <v>2022</v>
      </c>
      <c r="D12" s="451" t="s">
        <v>53</v>
      </c>
      <c r="E12" s="456">
        <v>0</v>
      </c>
      <c r="F12" s="273">
        <v>0</v>
      </c>
      <c r="G12" s="273">
        <v>0</v>
      </c>
      <c r="H12" s="273">
        <v>4</v>
      </c>
      <c r="I12" s="273"/>
      <c r="J12" s="273">
        <v>3</v>
      </c>
      <c r="K12" s="294">
        <v>22836.5</v>
      </c>
      <c r="L12" s="294">
        <v>13144</v>
      </c>
      <c r="M12" s="294">
        <f t="shared" si="4"/>
        <v>35980.5</v>
      </c>
      <c r="N12" s="461">
        <f>SUM(M5:M12)</f>
        <v>281682.3</v>
      </c>
      <c r="O12" s="294">
        <f t="shared" si="2"/>
        <v>0</v>
      </c>
      <c r="P12" s="294">
        <f t="shared" si="0"/>
        <v>0</v>
      </c>
      <c r="Q12" s="294">
        <f t="shared" si="3"/>
        <v>22.234265782854603</v>
      </c>
      <c r="R12" s="294"/>
      <c r="S12" s="294">
        <f t="shared" si="1"/>
        <v>16.675699337140951</v>
      </c>
      <c r="U12" t="s">
        <v>373</v>
      </c>
      <c r="V12" s="758">
        <v>172301</v>
      </c>
      <c r="W12" s="758">
        <v>176350</v>
      </c>
      <c r="X12" s="758">
        <v>168563</v>
      </c>
      <c r="Y12" s="758">
        <v>174706</v>
      </c>
      <c r="Z12" s="758">
        <v>191751</v>
      </c>
      <c r="AA12" s="758">
        <f>Rates!AA39</f>
        <v>0</v>
      </c>
    </row>
    <row r="13" spans="3:27" hidden="1" x14ac:dyDescent="0.25">
      <c r="C13">
        <v>2022</v>
      </c>
      <c r="D13" s="451" t="s">
        <v>52</v>
      </c>
      <c r="E13" s="456">
        <v>0</v>
      </c>
      <c r="F13" s="273">
        <v>0</v>
      </c>
      <c r="G13" s="273">
        <v>0</v>
      </c>
      <c r="H13" s="273">
        <v>10</v>
      </c>
      <c r="I13" s="273"/>
      <c r="J13" s="273">
        <v>0</v>
      </c>
      <c r="K13" s="294">
        <v>22411.75</v>
      </c>
      <c r="L13" s="294">
        <v>13144</v>
      </c>
      <c r="M13" s="294">
        <f t="shared" si="4"/>
        <v>35555.75</v>
      </c>
      <c r="N13" s="461">
        <f>SUM(M5:M13)</f>
        <v>317238.05</v>
      </c>
      <c r="O13" s="294">
        <f t="shared" si="2"/>
        <v>0</v>
      </c>
      <c r="P13" s="294">
        <f t="shared" si="0"/>
        <v>0</v>
      </c>
      <c r="Q13" s="294">
        <f t="shared" si="3"/>
        <v>56.249692384494772</v>
      </c>
      <c r="R13" s="294"/>
      <c r="S13" s="294">
        <f t="shared" si="1"/>
        <v>0</v>
      </c>
    </row>
    <row r="14" spans="3:27" hidden="1" x14ac:dyDescent="0.25">
      <c r="C14">
        <v>2022</v>
      </c>
      <c r="D14" s="451" t="s">
        <v>51</v>
      </c>
      <c r="E14" s="456">
        <v>0</v>
      </c>
      <c r="F14" s="273">
        <v>0</v>
      </c>
      <c r="G14" s="273">
        <v>0</v>
      </c>
      <c r="H14" s="273">
        <v>6</v>
      </c>
      <c r="I14" s="273"/>
      <c r="J14" s="273">
        <v>2</v>
      </c>
      <c r="K14" s="294">
        <v>22252.3</v>
      </c>
      <c r="L14" s="294">
        <v>13144</v>
      </c>
      <c r="M14" s="294">
        <f t="shared" si="4"/>
        <v>35396.300000000003</v>
      </c>
      <c r="N14" s="461">
        <f>SUM(M5:M14)</f>
        <v>352634.35</v>
      </c>
      <c r="O14" s="294">
        <f t="shared" si="2"/>
        <v>0</v>
      </c>
      <c r="P14" s="294">
        <f t="shared" si="0"/>
        <v>0</v>
      </c>
      <c r="Q14" s="294">
        <f t="shared" si="3"/>
        <v>33.901848498289368</v>
      </c>
      <c r="R14" s="294"/>
      <c r="S14" s="294">
        <f t="shared" si="1"/>
        <v>11.300616166096455</v>
      </c>
      <c r="U14" t="s">
        <v>372</v>
      </c>
      <c r="V14" s="452">
        <v>1.1599999999999999</v>
      </c>
      <c r="W14" s="452">
        <v>3.4</v>
      </c>
      <c r="X14" s="452">
        <v>1.19</v>
      </c>
      <c r="Y14" s="452">
        <v>1.1399999999999999</v>
      </c>
      <c r="Z14" s="452">
        <f>Z5*200000/Z12</f>
        <v>0</v>
      </c>
      <c r="AA14" s="452" t="e">
        <f>AA5*200000/AA12</f>
        <v>#DIV/0!</v>
      </c>
    </row>
    <row r="15" spans="3:27" hidden="1" x14ac:dyDescent="0.25">
      <c r="C15">
        <v>2022</v>
      </c>
      <c r="D15" s="451" t="s">
        <v>50</v>
      </c>
      <c r="E15" s="456">
        <v>0</v>
      </c>
      <c r="F15" s="273">
        <v>0</v>
      </c>
      <c r="G15" s="273">
        <v>0</v>
      </c>
      <c r="H15" s="273">
        <v>8</v>
      </c>
      <c r="I15" s="273"/>
      <c r="J15" s="273">
        <v>1</v>
      </c>
      <c r="K15" s="294">
        <v>22925.3</v>
      </c>
      <c r="L15" s="294">
        <v>13144</v>
      </c>
      <c r="M15" s="294">
        <f>SUM(K15:L15)</f>
        <v>36069.300000000003</v>
      </c>
      <c r="N15" s="461">
        <f>SUM(M5:M15)</f>
        <v>388703.64999999997</v>
      </c>
      <c r="O15" s="294">
        <f t="shared" ref="O15:O16" si="5">F15*200000/N15</f>
        <v>0</v>
      </c>
      <c r="P15" s="294">
        <f t="shared" si="0"/>
        <v>0</v>
      </c>
      <c r="Q15" s="294">
        <f t="shared" si="3"/>
        <v>44.359053266905647</v>
      </c>
      <c r="R15" s="294"/>
      <c r="S15" s="294">
        <f t="shared" si="1"/>
        <v>5.5448816583632059</v>
      </c>
      <c r="U15" t="s">
        <v>371</v>
      </c>
      <c r="V15">
        <v>2.7</v>
      </c>
      <c r="W15">
        <v>1.9</v>
      </c>
      <c r="X15">
        <v>1.9</v>
      </c>
      <c r="Y15">
        <v>1.9</v>
      </c>
      <c r="Z15">
        <v>1.9</v>
      </c>
      <c r="AA15">
        <v>1.9</v>
      </c>
    </row>
    <row r="16" spans="3:27" hidden="1" x14ac:dyDescent="0.25">
      <c r="C16">
        <v>2022</v>
      </c>
      <c r="D16" s="451" t="s">
        <v>49</v>
      </c>
      <c r="E16" s="456">
        <v>0</v>
      </c>
      <c r="F16" s="273">
        <v>0</v>
      </c>
      <c r="G16" s="273">
        <v>0</v>
      </c>
      <c r="H16" s="273">
        <v>2</v>
      </c>
      <c r="I16" s="273"/>
      <c r="J16" s="273">
        <v>1</v>
      </c>
      <c r="K16" s="466">
        <v>23192.25</v>
      </c>
      <c r="L16" s="294">
        <v>13144</v>
      </c>
      <c r="M16" s="294">
        <f t="shared" si="4"/>
        <v>36336.25</v>
      </c>
      <c r="N16" s="461">
        <f>SUM(M5:M16)</f>
        <v>425039.89999999997</v>
      </c>
      <c r="O16" s="294">
        <f t="shared" si="5"/>
        <v>0</v>
      </c>
      <c r="P16" s="294">
        <f t="shared" si="0"/>
        <v>0</v>
      </c>
      <c r="Q16" s="294">
        <f t="shared" si="3"/>
        <v>11.008290618872339</v>
      </c>
      <c r="R16" s="294"/>
      <c r="S16" s="294">
        <f t="shared" si="1"/>
        <v>5.5041453094361694</v>
      </c>
      <c r="V16" s="452">
        <f>V10*200000/V12</f>
        <v>0</v>
      </c>
      <c r="W16" s="452">
        <f>W10*200000/W12</f>
        <v>0</v>
      </c>
      <c r="X16" s="452">
        <f>X10*200000/X12</f>
        <v>0</v>
      </c>
      <c r="Y16" s="452">
        <f>Y10*200000/Y12</f>
        <v>0</v>
      </c>
      <c r="Z16" s="452">
        <f>Z5*200000/Z12</f>
        <v>0</v>
      </c>
      <c r="AA16" s="452"/>
    </row>
    <row r="17" spans="1:333" x14ac:dyDescent="0.25">
      <c r="C17" s="780">
        <v>2025</v>
      </c>
      <c r="D17" s="779" t="s">
        <v>60</v>
      </c>
      <c r="E17" s="780"/>
      <c r="F17" s="780"/>
      <c r="G17" s="780"/>
      <c r="H17" s="780">
        <v>3</v>
      </c>
      <c r="I17" s="780"/>
      <c r="J17" s="780">
        <v>2</v>
      </c>
      <c r="K17" s="780"/>
      <c r="L17" s="780"/>
      <c r="M17" s="781">
        <v>15000</v>
      </c>
      <c r="N17" s="781">
        <f>+SUM(M17)</f>
        <v>15000</v>
      </c>
      <c r="O17" s="781">
        <f>F41*200000/N17</f>
        <v>13.333333333333334</v>
      </c>
      <c r="P17" s="781">
        <f t="shared" ref="P17:P26" si="6">G17*200000/N17</f>
        <v>0</v>
      </c>
      <c r="Q17" s="781">
        <f>H17*200000/N17</f>
        <v>40</v>
      </c>
      <c r="R17" s="781"/>
      <c r="S17" s="788">
        <f t="shared" ref="S17:S28" si="7">J17*200000/M17</f>
        <v>26.666666666666668</v>
      </c>
    </row>
    <row r="18" spans="1:333" x14ac:dyDescent="0.25">
      <c r="C18" s="780">
        <v>2025</v>
      </c>
      <c r="D18" s="779" t="s">
        <v>59</v>
      </c>
      <c r="E18" s="780"/>
      <c r="F18" s="780"/>
      <c r="G18" s="780"/>
      <c r="H18" s="780"/>
      <c r="I18" s="780"/>
      <c r="J18" s="780"/>
      <c r="K18" s="780"/>
      <c r="L18" s="780"/>
      <c r="M18" s="781">
        <v>15941</v>
      </c>
      <c r="N18" s="781">
        <f>SUM(M17:M18)</f>
        <v>30941</v>
      </c>
      <c r="O18" s="781">
        <f>F41*200000/N18</f>
        <v>6.463915193432662</v>
      </c>
      <c r="P18" s="781">
        <f t="shared" si="6"/>
        <v>0</v>
      </c>
      <c r="Q18" s="782">
        <f>H18*200000/N18</f>
        <v>0</v>
      </c>
      <c r="R18" s="782"/>
      <c r="S18" s="788">
        <f t="shared" si="7"/>
        <v>0</v>
      </c>
    </row>
    <row r="19" spans="1:333" x14ac:dyDescent="0.25">
      <c r="C19" s="780">
        <v>2025</v>
      </c>
      <c r="D19" s="779" t="s">
        <v>58</v>
      </c>
      <c r="E19" s="780"/>
      <c r="F19" s="780"/>
      <c r="G19" s="780">
        <v>1</v>
      </c>
      <c r="H19" s="780">
        <v>1</v>
      </c>
      <c r="I19" s="780"/>
      <c r="J19" s="780">
        <v>2</v>
      </c>
      <c r="K19" s="780"/>
      <c r="L19" s="780"/>
      <c r="M19" s="781">
        <v>15785</v>
      </c>
      <c r="N19" s="781">
        <f>SUM(M17:M19)</f>
        <v>46726</v>
      </c>
      <c r="O19" s="781">
        <f>F42*200000/N19</f>
        <v>4.2802722253135297</v>
      </c>
      <c r="P19" s="781">
        <f t="shared" si="6"/>
        <v>4.2802722253135297</v>
      </c>
      <c r="Q19" s="782">
        <f>H19*200000/N19</f>
        <v>4.2802722253135297</v>
      </c>
      <c r="R19" s="782"/>
      <c r="S19" s="788">
        <f t="shared" si="7"/>
        <v>25.340513145391196</v>
      </c>
    </row>
    <row r="20" spans="1:333" x14ac:dyDescent="0.25">
      <c r="C20" s="780">
        <v>2025</v>
      </c>
      <c r="D20" s="779" t="s">
        <v>57</v>
      </c>
      <c r="E20" s="780"/>
      <c r="F20" s="780"/>
      <c r="G20" s="780">
        <v>2</v>
      </c>
      <c r="H20" s="780">
        <v>1</v>
      </c>
      <c r="I20" s="780"/>
      <c r="J20" s="780">
        <v>1</v>
      </c>
      <c r="K20" s="780"/>
      <c r="L20" s="780"/>
      <c r="M20" s="781">
        <v>16858</v>
      </c>
      <c r="N20" s="781">
        <f>SUM(M17:M20)</f>
        <v>63584</v>
      </c>
      <c r="O20" s="781">
        <f>F42*200000/N20</f>
        <v>3.1454453950679415</v>
      </c>
      <c r="P20" s="781">
        <f t="shared" si="6"/>
        <v>6.290890790135883</v>
      </c>
      <c r="Q20" s="782">
        <f t="shared" ref="Q20:Q28" si="8">H20*200000/N20</f>
        <v>3.1454453950679415</v>
      </c>
      <c r="R20" s="782"/>
      <c r="S20" s="788">
        <f t="shared" si="7"/>
        <v>11.863803535413453</v>
      </c>
    </row>
    <row r="21" spans="1:333" x14ac:dyDescent="0.25">
      <c r="C21" s="780">
        <v>2025</v>
      </c>
      <c r="D21" s="779" t="s">
        <v>56</v>
      </c>
      <c r="E21" s="780"/>
      <c r="F21" s="780"/>
      <c r="G21" s="780"/>
      <c r="H21" s="780">
        <v>1</v>
      </c>
      <c r="I21" s="780"/>
      <c r="J21" s="780">
        <v>1</v>
      </c>
      <c r="K21" s="780"/>
      <c r="L21" s="780"/>
      <c r="M21" s="781">
        <v>17091</v>
      </c>
      <c r="N21" s="781">
        <f>SUM(M17:M21)</f>
        <v>80675</v>
      </c>
      <c r="O21" s="781">
        <f>F42*200000/N21</f>
        <v>2.4790827393864272</v>
      </c>
      <c r="P21" s="781">
        <f t="shared" si="6"/>
        <v>0</v>
      </c>
      <c r="Q21" s="782">
        <f t="shared" si="8"/>
        <v>2.4790827393864272</v>
      </c>
      <c r="R21" s="782"/>
      <c r="S21" s="788">
        <f t="shared" si="7"/>
        <v>11.702065414545668</v>
      </c>
    </row>
    <row r="22" spans="1:333" x14ac:dyDescent="0.25">
      <c r="C22" s="780">
        <v>2025</v>
      </c>
      <c r="D22" s="779" t="s">
        <v>55</v>
      </c>
      <c r="E22" s="780"/>
      <c r="F22" s="780"/>
      <c r="G22" s="780">
        <v>1</v>
      </c>
      <c r="H22" s="780">
        <v>1</v>
      </c>
      <c r="I22" s="780"/>
      <c r="J22" s="780">
        <v>1</v>
      </c>
      <c r="K22" s="780"/>
      <c r="L22" s="780"/>
      <c r="M22" s="781">
        <v>15833</v>
      </c>
      <c r="N22" s="781">
        <f>SUM(M17:M22)</f>
        <v>96508</v>
      </c>
      <c r="O22" s="781">
        <f>F42*200000/N22</f>
        <v>2.0723670576532514</v>
      </c>
      <c r="P22" s="781">
        <f t="shared" si="6"/>
        <v>2.0723670576532514</v>
      </c>
      <c r="Q22" s="782">
        <f t="shared" si="8"/>
        <v>2.0723670576532514</v>
      </c>
      <c r="R22" s="782"/>
      <c r="S22" s="788">
        <f t="shared" si="7"/>
        <v>12.631844880944861</v>
      </c>
    </row>
    <row r="23" spans="1:333" x14ac:dyDescent="0.25">
      <c r="C23" s="780">
        <v>2025</v>
      </c>
      <c r="D23" s="779" t="s">
        <v>54</v>
      </c>
      <c r="E23" s="780"/>
      <c r="F23" s="780"/>
      <c r="G23" s="780">
        <v>1</v>
      </c>
      <c r="H23" s="780">
        <v>1</v>
      </c>
      <c r="I23" s="780"/>
      <c r="J23" s="780">
        <v>3</v>
      </c>
      <c r="K23" s="780"/>
      <c r="L23" s="780"/>
      <c r="M23" s="781">
        <v>14706</v>
      </c>
      <c r="N23" s="781">
        <f>SUM(M17:M23)</f>
        <v>111214</v>
      </c>
      <c r="O23" s="781">
        <f>F41*200000/N23</f>
        <v>1.7983347420288813</v>
      </c>
      <c r="P23" s="781">
        <f t="shared" si="6"/>
        <v>1.7983347420288813</v>
      </c>
      <c r="Q23" s="782">
        <f t="shared" si="8"/>
        <v>1.7983347420288813</v>
      </c>
      <c r="R23" s="782"/>
      <c r="S23" s="788">
        <f t="shared" si="7"/>
        <v>40.799673602611179</v>
      </c>
    </row>
    <row r="24" spans="1:333" x14ac:dyDescent="0.25">
      <c r="C24" s="780">
        <v>2025</v>
      </c>
      <c r="D24" s="779" t="s">
        <v>53</v>
      </c>
      <c r="E24" s="780"/>
      <c r="F24" s="780"/>
      <c r="G24" s="780">
        <v>1</v>
      </c>
      <c r="H24" s="780">
        <v>1</v>
      </c>
      <c r="I24" s="780"/>
      <c r="J24" s="780">
        <v>2</v>
      </c>
      <c r="K24" s="780"/>
      <c r="L24" s="780"/>
      <c r="M24" s="782">
        <v>15097</v>
      </c>
      <c r="N24" s="781">
        <f>SUM(M17:M24)</f>
        <v>126311</v>
      </c>
      <c r="O24" s="781">
        <f>F42*200000/N24</f>
        <v>1.5833933703319585</v>
      </c>
      <c r="P24" s="781">
        <f t="shared" si="6"/>
        <v>1.5833933703319585</v>
      </c>
      <c r="Q24" s="782">
        <f t="shared" si="8"/>
        <v>1.5833933703319585</v>
      </c>
      <c r="R24" s="782"/>
      <c r="S24" s="788">
        <f t="shared" si="7"/>
        <v>26.495330198052592</v>
      </c>
    </row>
    <row r="25" spans="1:333" x14ac:dyDescent="0.25">
      <c r="C25" s="780">
        <v>2025</v>
      </c>
      <c r="D25" s="779" t="s">
        <v>52</v>
      </c>
      <c r="E25" s="780"/>
      <c r="F25" s="780"/>
      <c r="G25" s="780"/>
      <c r="H25" s="780">
        <v>2</v>
      </c>
      <c r="I25" s="780"/>
      <c r="J25" s="780">
        <v>1</v>
      </c>
      <c r="K25" s="780"/>
      <c r="L25" s="780"/>
      <c r="M25" s="782">
        <v>16918</v>
      </c>
      <c r="N25" s="781">
        <f>SUM(M17:M25)</f>
        <v>143229</v>
      </c>
      <c r="O25" s="781">
        <f>F43*200000/N25</f>
        <v>0</v>
      </c>
      <c r="P25" s="781">
        <f t="shared" si="6"/>
        <v>0</v>
      </c>
      <c r="Q25" s="782">
        <f t="shared" si="8"/>
        <v>2.7927305224500625</v>
      </c>
      <c r="R25" s="782"/>
      <c r="S25" s="788">
        <f t="shared" si="7"/>
        <v>11.821728336682822</v>
      </c>
    </row>
    <row r="26" spans="1:333" x14ac:dyDescent="0.25">
      <c r="C26" s="780">
        <v>2025</v>
      </c>
      <c r="D26" s="779" t="s">
        <v>51</v>
      </c>
      <c r="E26" s="780"/>
      <c r="F26" s="780"/>
      <c r="G26" s="780">
        <v>1</v>
      </c>
      <c r="H26" s="780">
        <v>1</v>
      </c>
      <c r="I26" s="780"/>
      <c r="J26" s="780"/>
      <c r="K26" s="780"/>
      <c r="L26" s="780"/>
      <c r="M26" s="782">
        <v>16632</v>
      </c>
      <c r="N26" s="781">
        <f>SUM(M17:M26)</f>
        <v>159861</v>
      </c>
      <c r="O26" s="781">
        <f>F44*200000/N26</f>
        <v>0</v>
      </c>
      <c r="P26" s="781">
        <f t="shared" si="6"/>
        <v>1.2510868817285017</v>
      </c>
      <c r="Q26" s="782">
        <f t="shared" si="8"/>
        <v>1.2510868817285017</v>
      </c>
      <c r="R26" s="782"/>
      <c r="S26" s="788">
        <f t="shared" si="7"/>
        <v>0</v>
      </c>
    </row>
    <row r="27" spans="1:333" x14ac:dyDescent="0.25">
      <c r="C27" s="780">
        <v>2025</v>
      </c>
      <c r="D27" s="779" t="s">
        <v>50</v>
      </c>
      <c r="E27" s="780"/>
      <c r="F27" s="780"/>
      <c r="G27" s="780"/>
      <c r="H27" s="780"/>
      <c r="I27" s="780"/>
      <c r="J27" s="780">
        <v>1</v>
      </c>
      <c r="K27" s="780"/>
      <c r="L27" s="780"/>
      <c r="M27" s="782">
        <v>15591</v>
      </c>
      <c r="N27" s="781">
        <f>SUM(M17:M27)</f>
        <v>175452</v>
      </c>
      <c r="O27" s="781">
        <f>F45*200000/N27</f>
        <v>0</v>
      </c>
      <c r="P27" s="781">
        <f>G27*200000/N27</f>
        <v>0</v>
      </c>
      <c r="Q27" s="782">
        <f t="shared" si="8"/>
        <v>0</v>
      </c>
      <c r="R27" s="782"/>
      <c r="S27" s="788">
        <f>J27*200000/M27</f>
        <v>12.827913539862742</v>
      </c>
    </row>
    <row r="28" spans="1:333" x14ac:dyDescent="0.25">
      <c r="C28" s="780">
        <v>2025</v>
      </c>
      <c r="D28" s="779" t="s">
        <v>49</v>
      </c>
      <c r="E28" s="780">
        <v>0</v>
      </c>
      <c r="F28" s="780">
        <v>0</v>
      </c>
      <c r="G28" s="783">
        <v>0</v>
      </c>
      <c r="H28" s="780">
        <v>1</v>
      </c>
      <c r="I28" s="780">
        <v>1</v>
      </c>
      <c r="J28" s="780">
        <v>0</v>
      </c>
      <c r="K28" s="780"/>
      <c r="L28" s="780"/>
      <c r="M28" s="782">
        <v>16299</v>
      </c>
      <c r="N28" s="781">
        <f>SUM(M17:M28)</f>
        <v>191751</v>
      </c>
      <c r="O28" s="781">
        <f t="shared" ref="O28:O35" si="9">F46*200000/N28</f>
        <v>0</v>
      </c>
      <c r="P28" s="781">
        <f>G28*200000/N28</f>
        <v>0</v>
      </c>
      <c r="Q28" s="782">
        <f t="shared" si="8"/>
        <v>1.0430193323633254</v>
      </c>
      <c r="R28" s="780"/>
      <c r="S28" s="788">
        <f t="shared" si="7"/>
        <v>0</v>
      </c>
    </row>
    <row r="29" spans="1:333" s="700" customFormat="1" x14ac:dyDescent="0.25">
      <c r="A29"/>
      <c r="B29"/>
      <c r="C29" s="776">
        <v>2026</v>
      </c>
      <c r="D29" s="775" t="s">
        <v>60</v>
      </c>
      <c r="E29" s="776">
        <v>0</v>
      </c>
      <c r="F29" s="776">
        <v>0</v>
      </c>
      <c r="G29" s="776">
        <v>1</v>
      </c>
      <c r="H29" s="776">
        <v>1</v>
      </c>
      <c r="I29" s="776">
        <v>0</v>
      </c>
      <c r="J29" s="776">
        <v>1</v>
      </c>
      <c r="K29" s="776"/>
      <c r="L29" s="776"/>
      <c r="M29" s="778">
        <v>21473</v>
      </c>
      <c r="N29" s="790">
        <f>M29</f>
        <v>21473</v>
      </c>
      <c r="O29" s="777">
        <f t="shared" si="9"/>
        <v>0</v>
      </c>
      <c r="P29" s="777">
        <f>G29*200000/N29</f>
        <v>9.3140222605132035</v>
      </c>
      <c r="Q29" s="778">
        <f>H29*200000/N29</f>
        <v>9.3140222605132035</v>
      </c>
      <c r="R29" s="776"/>
      <c r="S29" s="789">
        <f>J29*200000/N29</f>
        <v>9.3140222605132035</v>
      </c>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c r="LS29"/>
      <c r="LT29"/>
      <c r="LU29"/>
    </row>
    <row r="30" spans="1:333" x14ac:dyDescent="0.25">
      <c r="C30" s="776">
        <v>2026</v>
      </c>
      <c r="D30" s="775" t="s">
        <v>59</v>
      </c>
      <c r="E30" s="776">
        <v>0</v>
      </c>
      <c r="F30" s="776">
        <v>0</v>
      </c>
      <c r="G30" s="776">
        <v>0</v>
      </c>
      <c r="H30" s="776">
        <v>2</v>
      </c>
      <c r="I30" s="776">
        <v>0</v>
      </c>
      <c r="J30" s="776">
        <v>0</v>
      </c>
      <c r="K30" s="776"/>
      <c r="L30" s="776"/>
      <c r="M30" s="778">
        <v>17654</v>
      </c>
      <c r="N30" s="790">
        <f>SUM(M29:M30)</f>
        <v>39127</v>
      </c>
      <c r="O30" s="777">
        <f t="shared" si="9"/>
        <v>0</v>
      </c>
      <c r="P30" s="777">
        <f t="shared" ref="P30:P31" si="10">G30*200000/N30</f>
        <v>0</v>
      </c>
      <c r="Q30" s="778">
        <f t="shared" ref="Q30:Q31" si="11">H30*200000/N30</f>
        <v>10.223119584941346</v>
      </c>
      <c r="R30" s="776"/>
      <c r="S30" s="789">
        <f>J30*200000/N30</f>
        <v>0</v>
      </c>
    </row>
    <row r="31" spans="1:333" x14ac:dyDescent="0.25">
      <c r="C31" s="776">
        <v>2026</v>
      </c>
      <c r="D31" s="775" t="s">
        <v>58</v>
      </c>
      <c r="E31" s="776">
        <v>0</v>
      </c>
      <c r="F31" s="776">
        <v>0</v>
      </c>
      <c r="G31" s="776">
        <v>1</v>
      </c>
      <c r="H31" s="776">
        <v>2</v>
      </c>
      <c r="I31" s="776">
        <v>1</v>
      </c>
      <c r="J31" s="776">
        <v>0</v>
      </c>
      <c r="K31" s="776"/>
      <c r="L31" s="776"/>
      <c r="M31" s="778">
        <v>18698</v>
      </c>
      <c r="N31" s="790">
        <f>SUM(M29:M31)</f>
        <v>57825</v>
      </c>
      <c r="O31" s="777">
        <f t="shared" si="9"/>
        <v>0</v>
      </c>
      <c r="P31" s="777">
        <f t="shared" si="10"/>
        <v>3.4587116299178557</v>
      </c>
      <c r="Q31" s="778">
        <f t="shared" si="11"/>
        <v>6.9174232598357115</v>
      </c>
      <c r="R31" s="776"/>
      <c r="S31" s="789">
        <f t="shared" ref="S31:S36" si="12">J31*200000/N31</f>
        <v>0</v>
      </c>
    </row>
    <row r="32" spans="1:333" x14ac:dyDescent="0.25">
      <c r="C32" s="776">
        <v>2026</v>
      </c>
      <c r="D32" s="775" t="s">
        <v>57</v>
      </c>
      <c r="E32" s="776">
        <v>0</v>
      </c>
      <c r="F32" s="776">
        <v>0</v>
      </c>
      <c r="G32" s="776">
        <v>2</v>
      </c>
      <c r="H32" s="776">
        <v>1</v>
      </c>
      <c r="I32" s="776">
        <v>0</v>
      </c>
      <c r="J32" s="776">
        <v>3</v>
      </c>
      <c r="K32" s="776"/>
      <c r="L32" s="776"/>
      <c r="M32" s="778">
        <v>18068</v>
      </c>
      <c r="N32" s="790">
        <f>SUM(M21:M32)</f>
        <v>204060</v>
      </c>
      <c r="O32" s="777">
        <f t="shared" si="9"/>
        <v>0</v>
      </c>
      <c r="P32" s="777">
        <f>G32*200000/N32</f>
        <v>1.9602077820248947</v>
      </c>
      <c r="Q32" s="778">
        <f>H32*200000/N32</f>
        <v>0.98010389101244733</v>
      </c>
      <c r="R32" s="776"/>
      <c r="S32" s="789">
        <f t="shared" si="12"/>
        <v>2.9403116730373418</v>
      </c>
    </row>
    <row r="33" spans="3:27" x14ac:dyDescent="0.25">
      <c r="C33" s="776">
        <v>2026</v>
      </c>
      <c r="D33" s="775" t="s">
        <v>56</v>
      </c>
      <c r="E33" s="776">
        <v>0</v>
      </c>
      <c r="F33" s="776">
        <v>0</v>
      </c>
      <c r="G33" s="776">
        <v>0</v>
      </c>
      <c r="H33" s="776">
        <v>0</v>
      </c>
      <c r="I33" s="776">
        <v>0</v>
      </c>
      <c r="J33" s="776">
        <v>2</v>
      </c>
      <c r="K33" s="776"/>
      <c r="L33" s="776"/>
      <c r="M33" s="776">
        <v>17366</v>
      </c>
      <c r="N33" s="790">
        <f>SUM(M22:M33)</f>
        <v>204335</v>
      </c>
      <c r="O33" s="777">
        <f t="shared" si="9"/>
        <v>0</v>
      </c>
      <c r="P33" s="777">
        <f>G33*200000/N33</f>
        <v>0</v>
      </c>
      <c r="Q33" s="778">
        <f>H33*200000/N33</f>
        <v>0</v>
      </c>
      <c r="R33" s="776"/>
      <c r="S33" s="789">
        <f t="shared" si="12"/>
        <v>1.9575696772456994</v>
      </c>
    </row>
    <row r="34" spans="3:27" x14ac:dyDescent="0.25">
      <c r="C34" s="776">
        <v>2026</v>
      </c>
      <c r="D34" s="775" t="s">
        <v>55</v>
      </c>
      <c r="E34" s="776">
        <v>0</v>
      </c>
      <c r="F34" s="776">
        <v>0</v>
      </c>
      <c r="G34" s="776">
        <v>0</v>
      </c>
      <c r="H34" s="776">
        <v>2</v>
      </c>
      <c r="I34" s="776">
        <v>0</v>
      </c>
      <c r="J34" s="776">
        <v>2</v>
      </c>
      <c r="K34" s="776"/>
      <c r="L34" s="776"/>
      <c r="M34" s="776">
        <v>17111</v>
      </c>
      <c r="N34" s="790">
        <f>SUM(M23:M34)</f>
        <v>205613</v>
      </c>
      <c r="O34" s="777">
        <f t="shared" si="9"/>
        <v>0</v>
      </c>
      <c r="P34" s="777">
        <f>G34*200000/N34</f>
        <v>0</v>
      </c>
      <c r="Q34" s="778">
        <f>H34*200000/N34</f>
        <v>1.9454022848749837</v>
      </c>
      <c r="R34" s="776"/>
      <c r="S34" s="789">
        <f t="shared" si="12"/>
        <v>1.9454022848749837</v>
      </c>
    </row>
    <row r="35" spans="3:27" x14ac:dyDescent="0.25">
      <c r="C35" s="776">
        <v>2026</v>
      </c>
      <c r="D35" s="775" t="s">
        <v>54</v>
      </c>
      <c r="E35" s="776">
        <v>0</v>
      </c>
      <c r="F35" s="776">
        <v>0</v>
      </c>
      <c r="G35" s="776">
        <v>0</v>
      </c>
      <c r="H35" s="776">
        <v>3</v>
      </c>
      <c r="I35" s="776">
        <v>0</v>
      </c>
      <c r="J35" s="776">
        <v>2</v>
      </c>
      <c r="K35" s="776"/>
      <c r="L35" s="776"/>
      <c r="M35" s="776">
        <v>16793</v>
      </c>
      <c r="N35" s="790">
        <f>SUM(M24:M35)</f>
        <v>207700</v>
      </c>
      <c r="O35" s="777">
        <f t="shared" si="9"/>
        <v>0</v>
      </c>
      <c r="P35" s="777">
        <f>G35*200000/N35</f>
        <v>0</v>
      </c>
      <c r="Q35" s="778">
        <f>H35*200000/N35</f>
        <v>2.8887818969667789</v>
      </c>
      <c r="R35" s="776"/>
      <c r="S35" s="789">
        <f t="shared" si="12"/>
        <v>1.9258545979778527</v>
      </c>
    </row>
    <row r="36" spans="3:27" x14ac:dyDescent="0.25">
      <c r="C36" s="776">
        <v>2026</v>
      </c>
      <c r="D36" s="775" t="s">
        <v>53</v>
      </c>
      <c r="E36" s="776">
        <v>1</v>
      </c>
      <c r="F36" s="776">
        <v>1</v>
      </c>
      <c r="G36" s="776">
        <v>0</v>
      </c>
      <c r="H36" s="776">
        <v>2</v>
      </c>
      <c r="I36" s="776">
        <v>0</v>
      </c>
      <c r="J36" s="776">
        <v>0</v>
      </c>
      <c r="K36" s="776"/>
      <c r="L36" s="776"/>
      <c r="M36" s="776">
        <v>18031</v>
      </c>
      <c r="N36" s="790">
        <f>SUM(M25:M36)</f>
        <v>210634</v>
      </c>
      <c r="O36" s="777">
        <f>F41*200000/N36</f>
        <v>0.9495143234235689</v>
      </c>
      <c r="P36" s="777">
        <f>G36*200000/N36</f>
        <v>0</v>
      </c>
      <c r="Q36" s="778">
        <f>H36*200000/N36</f>
        <v>1.8990286468471378</v>
      </c>
      <c r="R36" s="776"/>
      <c r="S36" s="789">
        <f t="shared" si="12"/>
        <v>0</v>
      </c>
    </row>
    <row r="37" spans="3:27" x14ac:dyDescent="0.25">
      <c r="C37" s="776">
        <v>2026</v>
      </c>
      <c r="D37" s="775" t="s">
        <v>52</v>
      </c>
      <c r="E37" s="776">
        <v>0</v>
      </c>
      <c r="F37" s="776">
        <v>0</v>
      </c>
      <c r="G37" s="776">
        <v>0</v>
      </c>
      <c r="H37" s="776">
        <v>1</v>
      </c>
      <c r="I37" s="776">
        <v>0</v>
      </c>
      <c r="J37" s="776">
        <v>1</v>
      </c>
      <c r="K37" s="776"/>
      <c r="L37" s="776"/>
      <c r="M37" s="776"/>
      <c r="N37" s="776"/>
      <c r="O37" s="776"/>
      <c r="P37" s="776"/>
      <c r="Q37" s="776"/>
      <c r="R37" s="776"/>
      <c r="S37" s="776"/>
    </row>
    <row r="38" spans="3:27" x14ac:dyDescent="0.25">
      <c r="C38" s="776">
        <v>2026</v>
      </c>
      <c r="D38" s="775" t="s">
        <v>51</v>
      </c>
      <c r="E38" s="776"/>
      <c r="F38" s="776"/>
      <c r="G38" s="776"/>
      <c r="H38" s="776"/>
      <c r="I38" s="776"/>
      <c r="J38" s="776"/>
      <c r="K38" s="776"/>
      <c r="L38" s="776"/>
      <c r="M38" s="776"/>
      <c r="N38" s="776"/>
      <c r="O38" s="776"/>
      <c r="P38" s="776"/>
      <c r="Q38" s="776"/>
      <c r="R38" s="776"/>
      <c r="S38" s="776"/>
    </row>
    <row r="39" spans="3:27" x14ac:dyDescent="0.25">
      <c r="C39" s="776">
        <v>2026</v>
      </c>
      <c r="D39" s="775" t="s">
        <v>50</v>
      </c>
      <c r="E39" s="776"/>
      <c r="F39" s="776"/>
      <c r="G39" s="776"/>
      <c r="H39" s="776"/>
      <c r="I39" s="776"/>
      <c r="J39" s="776"/>
      <c r="K39" s="776"/>
      <c r="L39" s="776"/>
      <c r="M39" s="776"/>
      <c r="N39" s="776"/>
      <c r="O39" s="776"/>
      <c r="P39" s="776"/>
      <c r="Q39" s="776"/>
      <c r="R39" s="776"/>
      <c r="S39" s="776"/>
    </row>
    <row r="40" spans="3:27" x14ac:dyDescent="0.25">
      <c r="C40" s="776">
        <v>2026</v>
      </c>
      <c r="D40" s="775" t="s">
        <v>49</v>
      </c>
      <c r="E40" s="776"/>
      <c r="F40" s="776"/>
      <c r="G40" s="776"/>
      <c r="H40" s="776"/>
      <c r="I40" s="776"/>
      <c r="J40" s="776"/>
      <c r="K40" s="776"/>
      <c r="L40" s="776"/>
      <c r="M40" s="776"/>
      <c r="N40" s="776"/>
      <c r="O40" s="776"/>
      <c r="P40" s="776"/>
      <c r="Q40" s="776"/>
      <c r="R40" s="776"/>
      <c r="S40" s="776"/>
    </row>
    <row r="41" spans="3:27" x14ac:dyDescent="0.25">
      <c r="D41" s="784" t="s">
        <v>297</v>
      </c>
      <c r="E41" s="785">
        <f>SUM(E21:E37)</f>
        <v>1</v>
      </c>
      <c r="F41" s="785">
        <f>SUM(F21:F37)</f>
        <v>1</v>
      </c>
      <c r="G41" s="784">
        <f>SUM(G24:G35)</f>
        <v>6</v>
      </c>
      <c r="H41" s="785">
        <f>SUM(H24:H35)</f>
        <v>16</v>
      </c>
      <c r="I41" s="785">
        <f>SUM(I24:I37)</f>
        <v>2</v>
      </c>
      <c r="J41" s="785">
        <f>SUM(J24:J35)</f>
        <v>14</v>
      </c>
      <c r="K41" s="785"/>
      <c r="L41" s="785"/>
      <c r="M41" s="785">
        <f>SUM(M25:M36)</f>
        <v>210634</v>
      </c>
      <c r="N41" s="784" t="s">
        <v>219</v>
      </c>
      <c r="V41">
        <v>2021</v>
      </c>
      <c r="W41">
        <v>2022</v>
      </c>
      <c r="X41">
        <v>2023</v>
      </c>
      <c r="Y41">
        <v>2024</v>
      </c>
      <c r="Z41">
        <v>2025</v>
      </c>
      <c r="AA41">
        <v>2026</v>
      </c>
    </row>
    <row r="42" spans="3:27" x14ac:dyDescent="0.25">
      <c r="D42" s="784" t="s">
        <v>369</v>
      </c>
      <c r="E42" s="784">
        <f t="shared" ref="E42:F42" si="13">SUM(E29:E40)</f>
        <v>1</v>
      </c>
      <c r="F42" s="784">
        <f t="shared" si="13"/>
        <v>1</v>
      </c>
      <c r="G42" s="784">
        <f>SUM(G29:G40)</f>
        <v>4</v>
      </c>
      <c r="H42" s="784">
        <f>SUM(H29:H40)</f>
        <v>14</v>
      </c>
      <c r="I42" s="784">
        <f>SUM(I29:I40)</f>
        <v>1</v>
      </c>
      <c r="J42" s="784">
        <f>SUM(J29:J40)</f>
        <v>11</v>
      </c>
      <c r="K42" s="784"/>
      <c r="L42" s="784"/>
      <c r="M42" s="785">
        <f>SUM(M29:M40)</f>
        <v>145194</v>
      </c>
      <c r="N42" s="784" t="s">
        <v>87</v>
      </c>
      <c r="U42" t="s">
        <v>330</v>
      </c>
      <c r="V42">
        <v>1</v>
      </c>
      <c r="W42">
        <v>3</v>
      </c>
      <c r="X42">
        <v>1</v>
      </c>
      <c r="Y42">
        <v>1</v>
      </c>
      <c r="Z42">
        <v>0</v>
      </c>
      <c r="AA42">
        <v>2</v>
      </c>
    </row>
    <row r="43" spans="3:27" x14ac:dyDescent="0.25">
      <c r="U43" t="s">
        <v>198</v>
      </c>
      <c r="Z43">
        <v>41</v>
      </c>
      <c r="AA43">
        <v>22</v>
      </c>
    </row>
    <row r="48" spans="3:27" x14ac:dyDescent="0.25">
      <c r="N48" s="452"/>
      <c r="O48" s="452"/>
    </row>
    <row r="49" spans="13:27" ht="15.75" thickBot="1" x14ac:dyDescent="0.3">
      <c r="M49" s="452"/>
      <c r="U49" t="s">
        <v>373</v>
      </c>
      <c r="V49" s="758">
        <v>172301</v>
      </c>
      <c r="W49" s="758">
        <v>176350</v>
      </c>
      <c r="X49" s="758">
        <v>168563</v>
      </c>
      <c r="Y49" s="758">
        <v>174706</v>
      </c>
      <c r="Z49" s="758">
        <v>191751</v>
      </c>
      <c r="AA49" s="758">
        <f>M42</f>
        <v>145194</v>
      </c>
    </row>
    <row r="50" spans="13:27" x14ac:dyDescent="0.25">
      <c r="M50" s="637"/>
      <c r="N50" s="628" t="s">
        <v>219</v>
      </c>
      <c r="O50" s="629" t="s">
        <v>87</v>
      </c>
      <c r="V50" s="758"/>
      <c r="W50" s="758"/>
      <c r="X50" s="758"/>
      <c r="Y50" s="758"/>
      <c r="Z50" s="758"/>
      <c r="AA50" s="758"/>
    </row>
    <row r="51" spans="13:27" x14ac:dyDescent="0.25">
      <c r="M51" s="626" t="s">
        <v>302</v>
      </c>
      <c r="N51" s="624">
        <f>SUM(F41)*200000/M41</f>
        <v>0.9495143234235689</v>
      </c>
      <c r="O51" s="622">
        <f>SUM(F42*200000/M42)</f>
        <v>1.3774673884595783</v>
      </c>
      <c r="U51" t="s">
        <v>395</v>
      </c>
      <c r="Z51" s="759">
        <f>Z43*200000/Z49</f>
        <v>42.76379262689634</v>
      </c>
      <c r="AA51" s="759">
        <f>AA43*200000/AA49</f>
        <v>30.30428254611072</v>
      </c>
    </row>
    <row r="52" spans="13:27" x14ac:dyDescent="0.25">
      <c r="M52" s="626" t="s">
        <v>303</v>
      </c>
      <c r="N52" s="624">
        <f>SUM(G41*200000/M41)</f>
        <v>5.6970859405414132</v>
      </c>
      <c r="O52" s="622">
        <f>SUM(G42*200000/M42)</f>
        <v>5.5098695538383131</v>
      </c>
      <c r="U52" t="s">
        <v>372</v>
      </c>
      <c r="V52" s="452">
        <v>1.1599999999999999</v>
      </c>
      <c r="W52" s="452">
        <v>3.4</v>
      </c>
      <c r="X52" s="452">
        <v>1.19</v>
      </c>
      <c r="Y52" s="452">
        <v>1.1399999999999999</v>
      </c>
      <c r="Z52" s="452">
        <f>Z42*200000/Z49</f>
        <v>0</v>
      </c>
      <c r="AA52" s="452">
        <f>AA42*200000/AA49</f>
        <v>2.7549347769191566</v>
      </c>
    </row>
    <row r="53" spans="13:27" x14ac:dyDescent="0.25">
      <c r="M53" s="626" t="s">
        <v>304</v>
      </c>
      <c r="N53" s="624">
        <f>SUM(H41*200000/M41)</f>
        <v>15.192229174777102</v>
      </c>
      <c r="O53" s="622">
        <f>SUM(H42*200000/M42)</f>
        <v>19.284543438434095</v>
      </c>
      <c r="U53" t="s">
        <v>371</v>
      </c>
      <c r="V53">
        <v>2.7</v>
      </c>
      <c r="W53">
        <v>1.9</v>
      </c>
      <c r="X53">
        <v>1.9</v>
      </c>
      <c r="Y53">
        <v>1.9</v>
      </c>
      <c r="Z53">
        <v>1.9</v>
      </c>
      <c r="AA53">
        <v>1.9</v>
      </c>
    </row>
    <row r="54" spans="13:27" ht="15.75" thickBot="1" x14ac:dyDescent="0.3">
      <c r="M54" s="627" t="s">
        <v>305</v>
      </c>
      <c r="N54" s="625">
        <f>SUM(J41*200000/M41)</f>
        <v>13.293200527929963</v>
      </c>
      <c r="O54" s="623">
        <f>SUM(J42*200000/M42)</f>
        <v>15.15214127305536</v>
      </c>
    </row>
  </sheetData>
  <phoneticPr fontId="47" type="noConversion"/>
  <pageMargins left="0.7" right="0.7" top="0.75" bottom="0.75" header="0.3" footer="0.3"/>
  <pageSetup orientation="landscape" horizontalDpi="203" verticalDpi="203"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981C2-ECF2-4AA7-9F00-FD4789D663F7}">
  <sheetPr codeName="Sheet4">
    <pageSetUpPr fitToPage="1"/>
  </sheetPr>
  <dimension ref="A1:AN97"/>
  <sheetViews>
    <sheetView topLeftCell="A12" zoomScale="115" zoomScaleNormal="115" zoomScaleSheetLayoutView="70" workbookViewId="0">
      <selection activeCell="P60" sqref="P60"/>
    </sheetView>
  </sheetViews>
  <sheetFormatPr defaultColWidth="9.140625" defaultRowHeight="15" x14ac:dyDescent="0.25"/>
  <cols>
    <col min="1" max="1" width="9.140625" style="133"/>
    <col min="2" max="2" width="9.5703125" style="133" bestFit="1" customWidth="1"/>
    <col min="3" max="23" width="9.140625" style="133"/>
    <col min="24" max="24" width="11.28515625" style="133" bestFit="1" customWidth="1"/>
    <col min="25" max="25" width="9.140625" style="133"/>
    <col min="26" max="26" width="11" style="133" bestFit="1" customWidth="1"/>
    <col min="27" max="35" width="9.140625" style="133"/>
    <col min="36" max="36" width="16.7109375" style="133" customWidth="1"/>
    <col min="37" max="37" width="13.28515625" style="133" customWidth="1"/>
    <col min="38" max="38" width="14.140625" style="133" customWidth="1"/>
    <col min="39" max="39" width="13" style="133" customWidth="1"/>
    <col min="40" max="16384" width="9.140625" style="133"/>
  </cols>
  <sheetData>
    <row r="1" spans="2:40" ht="46.5" x14ac:dyDescent="0.7">
      <c r="O1" s="497" t="s">
        <v>339</v>
      </c>
      <c r="P1" s="153"/>
      <c r="Q1" s="153"/>
      <c r="R1" s="153"/>
      <c r="S1" s="153"/>
      <c r="T1" s="153"/>
      <c r="U1" s="153"/>
    </row>
    <row r="4" spans="2:40" ht="26.25" x14ac:dyDescent="0.4">
      <c r="G4" s="495" t="s">
        <v>149</v>
      </c>
      <c r="U4" s="495"/>
    </row>
    <row r="5" spans="2:40" ht="15.75" customHeight="1" thickBot="1" x14ac:dyDescent="0.3"/>
    <row r="6" spans="2:40" ht="15.75" customHeight="1" thickBot="1" x14ac:dyDescent="0.35">
      <c r="B6" s="703" t="s">
        <v>92</v>
      </c>
      <c r="C6" s="648">
        <v>46023</v>
      </c>
      <c r="D6" s="648">
        <v>46054</v>
      </c>
      <c r="E6" s="648">
        <v>46082</v>
      </c>
      <c r="F6" s="648">
        <v>46113</v>
      </c>
      <c r="G6" s="648">
        <v>46143</v>
      </c>
      <c r="H6" s="648">
        <v>46174</v>
      </c>
      <c r="I6" s="648">
        <v>46204</v>
      </c>
      <c r="J6" s="648">
        <v>46235</v>
      </c>
      <c r="K6" s="648">
        <v>46266</v>
      </c>
      <c r="L6" s="648">
        <v>46296</v>
      </c>
      <c r="M6" s="648">
        <v>46327</v>
      </c>
      <c r="N6" s="648">
        <v>46357</v>
      </c>
      <c r="O6" s="633" t="s">
        <v>87</v>
      </c>
      <c r="Q6" s="164"/>
      <c r="R6" s="964" t="s">
        <v>380</v>
      </c>
      <c r="S6" s="964"/>
      <c r="T6" s="964"/>
      <c r="U6" s="964"/>
      <c r="V6" s="964"/>
      <c r="W6" s="163"/>
      <c r="X6" s="163"/>
      <c r="Y6" s="163"/>
      <c r="Z6" s="163"/>
      <c r="AA6" s="163"/>
      <c r="AB6" s="162"/>
      <c r="AI6" s="360"/>
      <c r="AJ6" s="360"/>
      <c r="AK6" s="360"/>
      <c r="AL6" s="360"/>
      <c r="AM6" s="360"/>
      <c r="AN6" s="360"/>
    </row>
    <row r="7" spans="2:40" ht="15" customHeight="1" thickBot="1" x14ac:dyDescent="0.3">
      <c r="B7" s="704">
        <v>100</v>
      </c>
      <c r="C7" s="654"/>
      <c r="D7" s="654"/>
      <c r="E7" s="654"/>
      <c r="F7" s="654"/>
      <c r="G7" s="654"/>
      <c r="H7" s="654"/>
      <c r="I7" s="654"/>
      <c r="J7" s="654">
        <v>1</v>
      </c>
      <c r="K7" s="654">
        <v>1</v>
      </c>
      <c r="L7" s="654"/>
      <c r="M7" s="654"/>
      <c r="N7" s="655"/>
      <c r="O7" s="634">
        <f>SUM(C7:N7)</f>
        <v>2</v>
      </c>
      <c r="Q7" s="171" t="s">
        <v>91</v>
      </c>
      <c r="R7" s="454"/>
      <c r="S7" s="454"/>
      <c r="T7" s="454"/>
      <c r="U7" s="454"/>
      <c r="V7" s="454"/>
      <c r="W7" s="454"/>
      <c r="X7" s="453">
        <f>Rates!O51</f>
        <v>1.3774673884595783</v>
      </c>
      <c r="AB7" s="160"/>
      <c r="AI7" s="360"/>
      <c r="AJ7" s="360"/>
      <c r="AK7" s="360"/>
      <c r="AL7" s="360"/>
      <c r="AM7" s="360"/>
      <c r="AN7" s="360"/>
    </row>
    <row r="8" spans="2:40" ht="18.75" thickBot="1" x14ac:dyDescent="0.3">
      <c r="B8" s="704">
        <v>200</v>
      </c>
      <c r="C8" s="656"/>
      <c r="D8" s="656"/>
      <c r="E8" s="656"/>
      <c r="F8" s="656"/>
      <c r="G8" s="656"/>
      <c r="H8" s="656">
        <v>1</v>
      </c>
      <c r="I8" s="656"/>
      <c r="J8" s="656"/>
      <c r="K8" s="656"/>
      <c r="L8" s="656"/>
      <c r="M8" s="656"/>
      <c r="N8" s="657"/>
      <c r="O8" s="634">
        <f t="shared" ref="O8:O21" si="0">SUM(C8:N8)</f>
        <v>1</v>
      </c>
      <c r="Q8" s="171" t="s">
        <v>211</v>
      </c>
      <c r="S8" s="455"/>
      <c r="U8" s="455"/>
      <c r="V8" s="455"/>
      <c r="W8" s="454"/>
      <c r="X8" s="453">
        <f>Rates!O52</f>
        <v>5.5098695538383131</v>
      </c>
      <c r="AB8" s="160"/>
      <c r="AI8" s="360"/>
      <c r="AJ8" s="552"/>
      <c r="AK8" s="552"/>
      <c r="AL8" s="552"/>
      <c r="AM8" s="552"/>
      <c r="AN8" s="360"/>
    </row>
    <row r="9" spans="2:40" ht="19.5" customHeight="1" thickBot="1" x14ac:dyDescent="0.3">
      <c r="B9" s="704">
        <v>300</v>
      </c>
      <c r="C9" s="658"/>
      <c r="D9" s="658"/>
      <c r="E9" s="658"/>
      <c r="F9" s="658"/>
      <c r="G9" s="658"/>
      <c r="H9" s="658"/>
      <c r="I9" s="658"/>
      <c r="J9" s="658"/>
      <c r="K9" s="658"/>
      <c r="L9" s="658"/>
      <c r="M9" s="658"/>
      <c r="N9" s="659"/>
      <c r="O9" s="634">
        <f t="shared" si="0"/>
        <v>0</v>
      </c>
      <c r="Q9" s="161"/>
      <c r="T9" s="455" t="s">
        <v>214</v>
      </c>
      <c r="AB9" s="160"/>
      <c r="AI9" s="360"/>
      <c r="AJ9" s="360"/>
      <c r="AK9" s="360"/>
      <c r="AL9" s="360"/>
      <c r="AM9" s="360"/>
      <c r="AN9" s="360"/>
    </row>
    <row r="10" spans="2:40" ht="18.75" customHeight="1" thickBot="1" x14ac:dyDescent="0.3">
      <c r="B10" s="704">
        <v>400</v>
      </c>
      <c r="C10" s="656"/>
      <c r="D10" s="656"/>
      <c r="E10" s="656"/>
      <c r="F10" s="656">
        <v>1</v>
      </c>
      <c r="G10" s="656"/>
      <c r="H10" s="656">
        <v>1</v>
      </c>
      <c r="I10" s="656"/>
      <c r="J10" s="656"/>
      <c r="K10" s="656"/>
      <c r="L10" s="656"/>
      <c r="M10" s="656"/>
      <c r="N10" s="657"/>
      <c r="O10" s="634">
        <f t="shared" si="0"/>
        <v>2</v>
      </c>
      <c r="Q10" s="171" t="s">
        <v>90</v>
      </c>
      <c r="X10" s="450">
        <f>Rates!N51</f>
        <v>0.9495143234235689</v>
      </c>
      <c r="Z10" s="695" t="s">
        <v>336</v>
      </c>
      <c r="AB10" s="160"/>
      <c r="AI10" s="360"/>
      <c r="AJ10" s="553"/>
      <c r="AK10" s="551"/>
      <c r="AL10" s="551"/>
      <c r="AM10" s="554"/>
      <c r="AN10" s="360"/>
    </row>
    <row r="11" spans="2:40" ht="18.75" thickBot="1" x14ac:dyDescent="0.3">
      <c r="B11" s="704">
        <v>500</v>
      </c>
      <c r="C11" s="658">
        <v>1</v>
      </c>
      <c r="D11" s="658"/>
      <c r="E11" s="658"/>
      <c r="F11" s="658"/>
      <c r="G11" s="658"/>
      <c r="H11" s="658"/>
      <c r="I11" s="658"/>
      <c r="J11" s="658"/>
      <c r="K11" s="658"/>
      <c r="L11" s="658"/>
      <c r="M11" s="658"/>
      <c r="N11" s="659"/>
      <c r="O11" s="634">
        <f t="shared" si="0"/>
        <v>1</v>
      </c>
      <c r="Q11" s="171" t="s">
        <v>212</v>
      </c>
      <c r="X11" s="453">
        <f>Rates!N52</f>
        <v>5.6970859405414132</v>
      </c>
      <c r="Z11" s="696" t="s">
        <v>335</v>
      </c>
      <c r="AB11" s="160"/>
      <c r="AI11" s="360"/>
      <c r="AJ11" s="553"/>
      <c r="AK11" s="551"/>
      <c r="AL11" s="551"/>
      <c r="AM11" s="554"/>
      <c r="AN11" s="360"/>
    </row>
    <row r="12" spans="2:40" ht="18.75" thickBot="1" x14ac:dyDescent="0.3">
      <c r="B12" s="704">
        <v>600</v>
      </c>
      <c r="C12" s="656"/>
      <c r="D12" s="656"/>
      <c r="E12" s="656"/>
      <c r="F12" s="656">
        <v>3</v>
      </c>
      <c r="G12" s="656">
        <v>1</v>
      </c>
      <c r="H12" s="656"/>
      <c r="I12" s="656">
        <v>1</v>
      </c>
      <c r="J12" s="656">
        <v>2</v>
      </c>
      <c r="K12" s="656"/>
      <c r="L12" s="656"/>
      <c r="M12" s="656"/>
      <c r="N12" s="657"/>
      <c r="O12" s="634">
        <f t="shared" si="0"/>
        <v>7</v>
      </c>
      <c r="Q12" s="171" t="s">
        <v>213</v>
      </c>
      <c r="X12" s="453">
        <f>Rates!N53</f>
        <v>15.192229174777102</v>
      </c>
      <c r="Z12" s="694" t="s">
        <v>334</v>
      </c>
      <c r="AB12" s="160"/>
      <c r="AI12" s="360"/>
      <c r="AJ12" s="553"/>
      <c r="AK12" s="551"/>
      <c r="AL12" s="551"/>
      <c r="AM12" s="554"/>
      <c r="AN12" s="360"/>
    </row>
    <row r="13" spans="2:40" ht="18.75" thickBot="1" x14ac:dyDescent="0.3">
      <c r="B13" s="704">
        <v>700</v>
      </c>
      <c r="C13" s="658"/>
      <c r="D13" s="658"/>
      <c r="E13" s="658"/>
      <c r="F13" s="658">
        <v>3</v>
      </c>
      <c r="G13" s="658"/>
      <c r="H13" s="658"/>
      <c r="I13" s="658"/>
      <c r="J13" s="658">
        <v>2</v>
      </c>
      <c r="K13" s="658"/>
      <c r="L13" s="658"/>
      <c r="M13" s="658"/>
      <c r="N13" s="659"/>
      <c r="O13" s="634">
        <f t="shared" si="0"/>
        <v>5</v>
      </c>
      <c r="Q13" s="171" t="s">
        <v>215</v>
      </c>
      <c r="R13" s="454"/>
      <c r="S13" s="454"/>
      <c r="T13" s="454"/>
      <c r="U13" s="454"/>
      <c r="V13" s="454"/>
      <c r="W13" s="454"/>
      <c r="X13" s="453">
        <f>Rates!N54</f>
        <v>13.293200527929963</v>
      </c>
      <c r="AB13" s="160"/>
      <c r="AI13" s="360"/>
      <c r="AJ13" s="553"/>
      <c r="AK13" s="551"/>
      <c r="AL13" s="551"/>
      <c r="AM13" s="554"/>
      <c r="AN13" s="360"/>
    </row>
    <row r="14" spans="2:40" ht="18.75" thickBot="1" x14ac:dyDescent="0.3">
      <c r="B14" s="704">
        <v>800</v>
      </c>
      <c r="C14" s="660"/>
      <c r="D14" s="660"/>
      <c r="E14" s="660"/>
      <c r="F14" s="660"/>
      <c r="G14" s="660"/>
      <c r="H14" s="660"/>
      <c r="I14" s="660"/>
      <c r="J14" s="660"/>
      <c r="K14" s="660">
        <v>1</v>
      </c>
      <c r="L14" s="660"/>
      <c r="M14" s="660"/>
      <c r="N14" s="661"/>
      <c r="O14" s="634">
        <f t="shared" si="0"/>
        <v>1</v>
      </c>
      <c r="Q14" s="171"/>
      <c r="R14" s="454"/>
      <c r="S14" s="454"/>
      <c r="T14" s="454"/>
      <c r="U14" s="454"/>
      <c r="V14" s="454"/>
      <c r="W14" s="454"/>
      <c r="X14" s="693"/>
      <c r="AB14" s="160"/>
      <c r="AI14" s="360"/>
      <c r="AJ14" s="553"/>
      <c r="AK14" s="551"/>
      <c r="AL14" s="551"/>
      <c r="AM14" s="554"/>
      <c r="AN14" s="360"/>
    </row>
    <row r="15" spans="2:40" ht="15.75" thickBot="1" x14ac:dyDescent="0.3">
      <c r="B15" s="704">
        <v>900</v>
      </c>
      <c r="C15" s="658"/>
      <c r="D15" s="658"/>
      <c r="E15" s="658"/>
      <c r="F15" s="658"/>
      <c r="G15" s="658"/>
      <c r="H15" s="658"/>
      <c r="I15" s="658"/>
      <c r="J15" s="658"/>
      <c r="K15" s="658"/>
      <c r="L15" s="658"/>
      <c r="M15" s="658"/>
      <c r="N15" s="659"/>
      <c r="O15" s="634">
        <f t="shared" si="0"/>
        <v>0</v>
      </c>
      <c r="Q15" s="159"/>
      <c r="R15" s="158"/>
      <c r="S15" s="158"/>
      <c r="T15" s="158"/>
      <c r="U15" s="158"/>
      <c r="V15" s="158"/>
      <c r="W15" s="158"/>
      <c r="X15" s="158"/>
      <c r="Y15" s="158"/>
      <c r="Z15" s="158"/>
      <c r="AA15" s="158"/>
      <c r="AB15" s="157"/>
      <c r="AI15" s="360"/>
      <c r="AJ15" s="553"/>
      <c r="AK15" s="551"/>
      <c r="AL15" s="551"/>
      <c r="AM15" s="554"/>
      <c r="AN15" s="360"/>
    </row>
    <row r="16" spans="2:40" ht="15.75" thickBot="1" x14ac:dyDescent="0.3">
      <c r="B16" s="704" t="s">
        <v>307</v>
      </c>
      <c r="C16" s="656"/>
      <c r="D16" s="656"/>
      <c r="E16" s="656"/>
      <c r="F16" s="656"/>
      <c r="G16" s="656"/>
      <c r="H16" s="656">
        <v>1</v>
      </c>
      <c r="I16" s="656"/>
      <c r="J16" s="656"/>
      <c r="K16" s="656"/>
      <c r="L16" s="656"/>
      <c r="M16" s="656"/>
      <c r="N16" s="657"/>
      <c r="O16" s="634">
        <f t="shared" si="0"/>
        <v>1</v>
      </c>
      <c r="AI16" s="360"/>
      <c r="AJ16" s="553"/>
      <c r="AK16" s="551"/>
      <c r="AL16" s="551"/>
      <c r="AM16" s="554"/>
      <c r="AN16" s="360"/>
    </row>
    <row r="17" spans="1:40" ht="15.75" thickBot="1" x14ac:dyDescent="0.3">
      <c r="B17" s="704" t="s">
        <v>308</v>
      </c>
      <c r="C17" s="658"/>
      <c r="D17" s="658"/>
      <c r="E17" s="658"/>
      <c r="F17" s="658"/>
      <c r="G17" s="658"/>
      <c r="H17" s="658"/>
      <c r="I17" s="658"/>
      <c r="J17" s="658"/>
      <c r="K17" s="658"/>
      <c r="L17" s="658"/>
      <c r="M17" s="658"/>
      <c r="N17" s="659"/>
      <c r="O17" s="634">
        <f t="shared" si="0"/>
        <v>0</v>
      </c>
      <c r="AI17" s="360"/>
      <c r="AJ17" s="553"/>
      <c r="AK17" s="551"/>
      <c r="AL17" s="551"/>
      <c r="AM17" s="554"/>
      <c r="AN17" s="360"/>
    </row>
    <row r="18" spans="1:40" ht="15.75" thickBot="1" x14ac:dyDescent="0.3">
      <c r="B18" s="704" t="s">
        <v>309</v>
      </c>
      <c r="C18" s="701"/>
      <c r="D18" s="701"/>
      <c r="E18" s="701"/>
      <c r="F18" s="701"/>
      <c r="G18" s="701"/>
      <c r="H18" s="701">
        <v>1</v>
      </c>
      <c r="I18" s="701"/>
      <c r="J18" s="701"/>
      <c r="K18" s="701"/>
      <c r="L18" s="701"/>
      <c r="M18" s="701"/>
      <c r="N18" s="702"/>
      <c r="O18" s="634">
        <f t="shared" si="0"/>
        <v>1</v>
      </c>
      <c r="AI18" s="360"/>
      <c r="AJ18" s="553"/>
      <c r="AK18" s="551"/>
      <c r="AL18" s="551"/>
      <c r="AM18" s="554"/>
      <c r="AN18" s="360"/>
    </row>
    <row r="19" spans="1:40" ht="15.75" thickBot="1" x14ac:dyDescent="0.3">
      <c r="B19" s="704" t="s">
        <v>340</v>
      </c>
      <c r="C19" s="701"/>
      <c r="D19" s="701"/>
      <c r="E19" s="701"/>
      <c r="F19" s="701">
        <v>3</v>
      </c>
      <c r="G19" s="701">
        <v>1</v>
      </c>
      <c r="H19" s="701"/>
      <c r="I19" s="701">
        <v>2</v>
      </c>
      <c r="J19" s="701"/>
      <c r="K19" s="701"/>
      <c r="L19" s="701"/>
      <c r="M19" s="701"/>
      <c r="N19" s="702"/>
      <c r="O19" s="634">
        <f t="shared" si="0"/>
        <v>6</v>
      </c>
      <c r="AI19" s="360"/>
      <c r="AJ19" s="553"/>
      <c r="AK19" s="551"/>
      <c r="AL19" s="551"/>
      <c r="AM19" s="554"/>
      <c r="AN19" s="360"/>
    </row>
    <row r="20" spans="1:40" ht="15.75" thickBot="1" x14ac:dyDescent="0.3">
      <c r="B20" s="704" t="s">
        <v>392</v>
      </c>
      <c r="C20" s="701"/>
      <c r="D20" s="701"/>
      <c r="E20" s="701"/>
      <c r="F20" s="701">
        <v>1</v>
      </c>
      <c r="G20" s="701"/>
      <c r="H20" s="701"/>
      <c r="I20" s="701">
        <v>1</v>
      </c>
      <c r="J20" s="701"/>
      <c r="K20" s="701"/>
      <c r="L20" s="701"/>
      <c r="M20" s="701"/>
      <c r="N20" s="702"/>
      <c r="O20" s="634">
        <f t="shared" si="0"/>
        <v>2</v>
      </c>
      <c r="AI20" s="360"/>
      <c r="AJ20" s="553"/>
      <c r="AK20" s="551"/>
      <c r="AL20" s="551"/>
      <c r="AM20" s="554"/>
      <c r="AN20" s="360"/>
    </row>
    <row r="21" spans="1:40" ht="15.75" thickBot="1" x14ac:dyDescent="0.3">
      <c r="B21" s="705" t="s">
        <v>8</v>
      </c>
      <c r="C21" s="660">
        <v>2</v>
      </c>
      <c r="D21" s="660"/>
      <c r="E21" s="660"/>
      <c r="F21" s="660"/>
      <c r="G21" s="660"/>
      <c r="H21" s="660"/>
      <c r="I21" s="660"/>
      <c r="J21" s="660"/>
      <c r="K21" s="660"/>
      <c r="L21" s="660"/>
      <c r="M21" s="660"/>
      <c r="N21" s="661"/>
      <c r="O21" s="634">
        <f t="shared" si="0"/>
        <v>2</v>
      </c>
      <c r="AI21" s="360"/>
      <c r="AJ21" s="553"/>
      <c r="AK21" s="551"/>
      <c r="AL21" s="551"/>
      <c r="AM21" s="554"/>
      <c r="AN21" s="360"/>
    </row>
    <row r="22" spans="1:40" ht="19.5" thickBot="1" x14ac:dyDescent="0.35">
      <c r="B22" s="706" t="s">
        <v>86</v>
      </c>
      <c r="C22" s="635">
        <f>SUM(C7:C21)</f>
        <v>3</v>
      </c>
      <c r="D22" s="635">
        <f t="shared" ref="D22:N22" si="1">SUM(D7:D21)</f>
        <v>0</v>
      </c>
      <c r="E22" s="635">
        <f t="shared" si="1"/>
        <v>0</v>
      </c>
      <c r="F22" s="635">
        <f t="shared" si="1"/>
        <v>11</v>
      </c>
      <c r="G22" s="635">
        <f t="shared" si="1"/>
        <v>2</v>
      </c>
      <c r="H22" s="635">
        <f t="shared" si="1"/>
        <v>4</v>
      </c>
      <c r="I22" s="635">
        <f t="shared" si="1"/>
        <v>4</v>
      </c>
      <c r="J22" s="635">
        <f t="shared" si="1"/>
        <v>5</v>
      </c>
      <c r="K22" s="635">
        <f t="shared" si="1"/>
        <v>2</v>
      </c>
      <c r="L22" s="635">
        <f t="shared" si="1"/>
        <v>0</v>
      </c>
      <c r="M22" s="635">
        <f t="shared" si="1"/>
        <v>0</v>
      </c>
      <c r="N22" s="635">
        <f t="shared" si="1"/>
        <v>0</v>
      </c>
      <c r="O22" s="636">
        <f>SUM(C22:N22)</f>
        <v>31</v>
      </c>
      <c r="AI22" s="360"/>
      <c r="AJ22" s="555"/>
      <c r="AK22" s="556"/>
      <c r="AL22" s="556"/>
      <c r="AM22" s="557"/>
      <c r="AN22" s="360"/>
    </row>
    <row r="23" spans="1:40" ht="26.25" x14ac:dyDescent="0.4">
      <c r="D23" s="170"/>
      <c r="F23" s="495" t="s">
        <v>89</v>
      </c>
      <c r="V23" s="156"/>
      <c r="AI23" s="360"/>
      <c r="AJ23" s="360"/>
      <c r="AK23" s="360"/>
      <c r="AL23" s="360"/>
      <c r="AM23" s="360"/>
      <c r="AN23" s="360"/>
    </row>
    <row r="24" spans="1:40" x14ac:dyDescent="0.25">
      <c r="F24" s="496" t="s">
        <v>88</v>
      </c>
    </row>
    <row r="25" spans="1:40" ht="15.75" thickBot="1" x14ac:dyDescent="0.3"/>
    <row r="26" spans="1:40" ht="15.75" thickBot="1" x14ac:dyDescent="0.3">
      <c r="B26" s="712" t="s">
        <v>92</v>
      </c>
      <c r="C26" s="646">
        <v>46023</v>
      </c>
      <c r="D26" s="646">
        <v>46054</v>
      </c>
      <c r="E26" s="646">
        <v>46082</v>
      </c>
      <c r="F26" s="646">
        <v>46113</v>
      </c>
      <c r="G26" s="646">
        <v>46143</v>
      </c>
      <c r="H26" s="646">
        <v>46174</v>
      </c>
      <c r="I26" s="646">
        <v>46204</v>
      </c>
      <c r="J26" s="646">
        <v>46235</v>
      </c>
      <c r="K26" s="646">
        <v>46266</v>
      </c>
      <c r="L26" s="646">
        <v>46296</v>
      </c>
      <c r="M26" s="646">
        <v>46327</v>
      </c>
      <c r="N26" s="646">
        <v>46357</v>
      </c>
      <c r="O26" s="647" t="s">
        <v>87</v>
      </c>
    </row>
    <row r="27" spans="1:40" x14ac:dyDescent="0.25">
      <c r="B27" s="709">
        <v>100</v>
      </c>
      <c r="C27" s="644"/>
      <c r="D27" s="645"/>
      <c r="E27" s="645">
        <v>1</v>
      </c>
      <c r="F27" s="645"/>
      <c r="G27" s="645"/>
      <c r="H27" s="645"/>
      <c r="I27" s="645">
        <v>1</v>
      </c>
      <c r="J27" s="645"/>
      <c r="K27" s="645"/>
      <c r="L27" s="645"/>
      <c r="M27" s="645"/>
      <c r="N27" s="719"/>
      <c r="O27" s="734">
        <f>SUM(C27:N27)</f>
        <v>2</v>
      </c>
      <c r="Q27" s="954"/>
      <c r="R27" s="954"/>
      <c r="S27" s="954"/>
      <c r="T27" s="954"/>
      <c r="U27" s="954"/>
      <c r="V27" s="954"/>
      <c r="W27" s="494"/>
      <c r="X27" s="955"/>
      <c r="Y27" s="955"/>
      <c r="Z27" s="955"/>
      <c r="AA27" s="955"/>
      <c r="AB27" s="953"/>
    </row>
    <row r="28" spans="1:40" x14ac:dyDescent="0.25">
      <c r="A28" s="167"/>
      <c r="B28" s="707">
        <v>200</v>
      </c>
      <c r="C28" s="638">
        <v>1</v>
      </c>
      <c r="D28" s="515">
        <v>1</v>
      </c>
      <c r="E28" s="515"/>
      <c r="F28" s="515"/>
      <c r="G28" s="515"/>
      <c r="H28" s="515">
        <v>1</v>
      </c>
      <c r="I28" s="515">
        <v>1</v>
      </c>
      <c r="J28" s="515"/>
      <c r="K28" s="515"/>
      <c r="L28" s="515"/>
      <c r="M28" s="515"/>
      <c r="N28" s="720"/>
      <c r="O28" s="735">
        <f t="shared" ref="O28:O35" si="2">SUM(C28:N28)</f>
        <v>4</v>
      </c>
      <c r="Q28" s="956"/>
      <c r="R28" s="959"/>
      <c r="S28" s="956"/>
      <c r="T28" s="954"/>
      <c r="U28" s="960"/>
      <c r="V28" s="961"/>
      <c r="W28" s="958"/>
      <c r="X28" s="954"/>
      <c r="Y28" s="955"/>
      <c r="Z28" s="955"/>
      <c r="AA28" s="955"/>
      <c r="AB28" s="953"/>
    </row>
    <row r="29" spans="1:40" x14ac:dyDescent="0.25">
      <c r="A29" s="167"/>
      <c r="B29" s="708">
        <v>300</v>
      </c>
      <c r="C29" s="639">
        <v>1</v>
      </c>
      <c r="D29" s="516">
        <v>1</v>
      </c>
      <c r="E29" s="516"/>
      <c r="F29" s="516"/>
      <c r="G29" s="516"/>
      <c r="H29" s="516"/>
      <c r="I29" s="516"/>
      <c r="J29" s="516"/>
      <c r="K29" s="516"/>
      <c r="L29" s="516"/>
      <c r="M29" s="516"/>
      <c r="N29" s="721"/>
      <c r="O29" s="736">
        <f t="shared" si="2"/>
        <v>2</v>
      </c>
      <c r="Q29" s="956"/>
      <c r="R29" s="954"/>
      <c r="S29" s="954"/>
      <c r="T29" s="954"/>
      <c r="U29" s="960"/>
      <c r="V29" s="962"/>
      <c r="W29" s="958"/>
      <c r="X29" s="954"/>
      <c r="Y29" s="955"/>
      <c r="Z29" s="955"/>
      <c r="AA29" s="955"/>
      <c r="AB29" s="953"/>
    </row>
    <row r="30" spans="1:40" x14ac:dyDescent="0.25">
      <c r="A30" s="166"/>
      <c r="B30" s="707">
        <v>400</v>
      </c>
      <c r="C30" s="640">
        <v>1</v>
      </c>
      <c r="D30" s="517"/>
      <c r="E30" s="517">
        <v>1</v>
      </c>
      <c r="F30" s="517">
        <v>1</v>
      </c>
      <c r="G30" s="517"/>
      <c r="H30" s="517"/>
      <c r="I30" s="517"/>
      <c r="J30" s="517"/>
      <c r="K30" s="517">
        <v>1</v>
      </c>
      <c r="L30" s="517"/>
      <c r="M30" s="517"/>
      <c r="N30" s="722"/>
      <c r="O30" s="735">
        <f t="shared" si="2"/>
        <v>4</v>
      </c>
      <c r="Q30" s="963"/>
      <c r="R30" s="954"/>
      <c r="S30" s="957"/>
      <c r="T30" s="957"/>
      <c r="U30" s="960"/>
      <c r="V30" s="962"/>
      <c r="W30" s="958"/>
      <c r="X30" s="954"/>
      <c r="Y30" s="955"/>
      <c r="Z30" s="955"/>
      <c r="AA30" s="955"/>
      <c r="AB30" s="953"/>
    </row>
    <row r="31" spans="1:40" x14ac:dyDescent="0.25">
      <c r="A31" s="167"/>
      <c r="B31" s="708">
        <v>500</v>
      </c>
      <c r="C31" s="632"/>
      <c r="D31" s="514"/>
      <c r="E31" s="514"/>
      <c r="F31" s="514"/>
      <c r="G31" s="514"/>
      <c r="H31" s="514"/>
      <c r="I31" s="514"/>
      <c r="J31" s="514">
        <v>2</v>
      </c>
      <c r="K31" s="514"/>
      <c r="L31" s="514"/>
      <c r="M31" s="514"/>
      <c r="N31" s="723"/>
      <c r="O31" s="736">
        <f t="shared" si="2"/>
        <v>2</v>
      </c>
      <c r="Q31" s="963"/>
      <c r="R31" s="954"/>
      <c r="S31" s="957"/>
      <c r="T31" s="957"/>
      <c r="U31" s="960"/>
      <c r="V31" s="962"/>
      <c r="W31" s="958"/>
      <c r="X31" s="954"/>
      <c r="Y31" s="955"/>
      <c r="Z31" s="955"/>
      <c r="AA31" s="955"/>
      <c r="AB31" s="953"/>
    </row>
    <row r="32" spans="1:40" x14ac:dyDescent="0.25">
      <c r="A32" s="167"/>
      <c r="B32" s="707">
        <v>600</v>
      </c>
      <c r="C32" s="631"/>
      <c r="D32" s="518"/>
      <c r="E32" s="518">
        <v>1</v>
      </c>
      <c r="F32" s="518">
        <v>1</v>
      </c>
      <c r="G32" s="518"/>
      <c r="H32" s="518"/>
      <c r="I32" s="518">
        <v>1</v>
      </c>
      <c r="J32" s="518"/>
      <c r="K32" s="518"/>
      <c r="L32" s="518"/>
      <c r="M32" s="518"/>
      <c r="N32" s="724"/>
      <c r="O32" s="735">
        <f t="shared" si="2"/>
        <v>3</v>
      </c>
    </row>
    <row r="33" spans="1:36" ht="15.75" customHeight="1" x14ac:dyDescent="0.25">
      <c r="A33" s="166"/>
      <c r="B33" s="708">
        <v>700</v>
      </c>
      <c r="C33" s="632">
        <v>1</v>
      </c>
      <c r="D33" s="514"/>
      <c r="E33" s="514"/>
      <c r="F33" s="514"/>
      <c r="G33" s="514"/>
      <c r="H33" s="514">
        <v>1</v>
      </c>
      <c r="I33" s="514"/>
      <c r="J33" s="514"/>
      <c r="K33" s="514"/>
      <c r="L33" s="514"/>
      <c r="M33" s="514"/>
      <c r="N33" s="723"/>
      <c r="O33" s="736">
        <f>SUM(C33:N33)</f>
        <v>2</v>
      </c>
    </row>
    <row r="34" spans="1:36" ht="15.75" customHeight="1" x14ac:dyDescent="0.25">
      <c r="A34" s="166"/>
      <c r="B34" s="707">
        <v>800</v>
      </c>
      <c r="C34" s="631"/>
      <c r="D34" s="518"/>
      <c r="E34" s="518"/>
      <c r="F34" s="518"/>
      <c r="G34" s="518"/>
      <c r="H34" s="518"/>
      <c r="I34" s="518"/>
      <c r="K34" s="518"/>
      <c r="L34" s="518"/>
      <c r="M34" s="518"/>
      <c r="N34" s="724"/>
      <c r="O34" s="737">
        <f t="shared" si="2"/>
        <v>0</v>
      </c>
    </row>
    <row r="35" spans="1:36" ht="15.75" thickBot="1" x14ac:dyDescent="0.3">
      <c r="A35" s="167"/>
      <c r="B35" s="709">
        <v>900</v>
      </c>
      <c r="C35" s="632"/>
      <c r="D35" s="514"/>
      <c r="E35" s="514"/>
      <c r="F35" s="514"/>
      <c r="G35" s="514"/>
      <c r="H35" s="514"/>
      <c r="I35" s="514"/>
      <c r="J35" s="514"/>
      <c r="K35" s="514"/>
      <c r="L35" s="514"/>
      <c r="M35" s="514"/>
      <c r="N35" s="723"/>
      <c r="O35" s="738">
        <f t="shared" si="2"/>
        <v>0</v>
      </c>
      <c r="Q35" s="170"/>
      <c r="R35" s="170"/>
      <c r="S35" s="170"/>
      <c r="T35" s="170"/>
      <c r="U35" s="170"/>
      <c r="V35" s="170"/>
      <c r="W35" s="170"/>
      <c r="X35" s="170"/>
      <c r="Y35" s="170"/>
      <c r="Z35" s="170"/>
      <c r="AA35" s="170"/>
      <c r="AB35" s="170"/>
    </row>
    <row r="36" spans="1:36" ht="15.75" thickBot="1" x14ac:dyDescent="0.3">
      <c r="A36" s="167"/>
      <c r="B36" s="710" t="s">
        <v>307</v>
      </c>
      <c r="C36" s="631"/>
      <c r="D36" s="518"/>
      <c r="E36" s="518"/>
      <c r="F36" s="518"/>
      <c r="G36" s="518">
        <v>2</v>
      </c>
      <c r="H36" s="518"/>
      <c r="I36" s="518"/>
      <c r="J36" s="518"/>
      <c r="K36" s="518"/>
      <c r="L36" s="518"/>
      <c r="M36" s="518"/>
      <c r="N36" s="724"/>
      <c r="O36" s="739">
        <f>SUM(C36:N36)</f>
        <v>2</v>
      </c>
      <c r="Q36" s="170"/>
      <c r="R36" s="170"/>
      <c r="S36" s="170"/>
      <c r="T36" s="170"/>
      <c r="U36" s="170"/>
      <c r="V36" s="170"/>
      <c r="W36" s="170"/>
      <c r="X36" s="170"/>
      <c r="Y36" s="170"/>
      <c r="Z36" s="170"/>
      <c r="AA36" s="170"/>
      <c r="AB36" s="170"/>
    </row>
    <row r="37" spans="1:36" x14ac:dyDescent="0.25">
      <c r="A37" s="167"/>
      <c r="B37" s="709" t="s">
        <v>310</v>
      </c>
      <c r="C37" s="715"/>
      <c r="D37" s="716"/>
      <c r="E37" s="716"/>
      <c r="F37" s="716"/>
      <c r="G37" s="716"/>
      <c r="H37" s="716"/>
      <c r="I37" s="716"/>
      <c r="J37" s="716"/>
      <c r="K37" s="716"/>
      <c r="L37" s="716"/>
      <c r="M37" s="716"/>
      <c r="N37" s="725"/>
      <c r="O37" s="740">
        <f>SUM(C37:N37)</f>
        <v>0</v>
      </c>
      <c r="Q37" s="170"/>
      <c r="R37" s="170"/>
      <c r="S37" s="170"/>
      <c r="T37" s="170"/>
      <c r="U37" s="170"/>
      <c r="V37" s="170"/>
      <c r="W37" s="170"/>
      <c r="X37" s="170"/>
      <c r="Y37" s="170"/>
      <c r="Z37" s="170"/>
      <c r="AA37" s="170"/>
      <c r="AB37" s="170"/>
    </row>
    <row r="38" spans="1:36" x14ac:dyDescent="0.25">
      <c r="A38" s="167"/>
      <c r="B38" s="713" t="s">
        <v>309</v>
      </c>
      <c r="C38" s="718"/>
      <c r="D38" s="711"/>
      <c r="E38" s="711"/>
      <c r="F38" s="711"/>
      <c r="G38" s="711"/>
      <c r="H38" s="711"/>
      <c r="I38" s="711"/>
      <c r="J38" s="711"/>
      <c r="K38" s="711"/>
      <c r="L38" s="711"/>
      <c r="M38" s="711"/>
      <c r="N38" s="726"/>
      <c r="O38" s="735">
        <f>SUM(C38:N38)</f>
        <v>0</v>
      </c>
      <c r="Q38" s="170"/>
      <c r="R38" s="170"/>
      <c r="S38" s="170"/>
      <c r="T38" s="170"/>
      <c r="U38" s="170"/>
      <c r="V38" s="170"/>
      <c r="W38" s="170"/>
      <c r="X38" s="170"/>
      <c r="Y38" s="170"/>
      <c r="Z38" s="170"/>
      <c r="AA38" s="170"/>
      <c r="AB38" s="170"/>
    </row>
    <row r="39" spans="1:36" ht="19.5" customHeight="1" x14ac:dyDescent="0.25">
      <c r="A39" s="167"/>
      <c r="B39" s="709" t="s">
        <v>341</v>
      </c>
      <c r="C39" s="632">
        <v>1</v>
      </c>
      <c r="D39" s="514">
        <v>2</v>
      </c>
      <c r="E39" s="514">
        <v>2</v>
      </c>
      <c r="F39" s="514">
        <v>4</v>
      </c>
      <c r="G39" s="514"/>
      <c r="H39" s="514">
        <v>2</v>
      </c>
      <c r="I39" s="514">
        <v>1</v>
      </c>
      <c r="J39" s="514">
        <v>1</v>
      </c>
      <c r="K39" s="514">
        <v>1</v>
      </c>
      <c r="L39" s="514"/>
      <c r="M39" s="514"/>
      <c r="N39" s="723"/>
      <c r="O39" s="736">
        <f>SUM(C39:N39)</f>
        <v>14</v>
      </c>
      <c r="Q39" s="170"/>
      <c r="R39" s="170"/>
      <c r="S39" s="170"/>
      <c r="T39" s="170"/>
      <c r="U39" s="170"/>
      <c r="V39" s="170"/>
      <c r="W39" s="170"/>
      <c r="X39" s="170"/>
      <c r="Y39" s="170"/>
      <c r="Z39" s="170"/>
      <c r="AA39" s="170"/>
      <c r="AB39" s="170"/>
    </row>
    <row r="40" spans="1:36" ht="15.75" thickBot="1" x14ac:dyDescent="0.3">
      <c r="A40" s="167"/>
      <c r="B40" s="714" t="s">
        <v>8</v>
      </c>
      <c r="C40" s="641"/>
      <c r="D40" s="642">
        <v>2</v>
      </c>
      <c r="E40" s="642"/>
      <c r="F40" s="642"/>
      <c r="G40" s="642">
        <v>1</v>
      </c>
      <c r="H40" s="642"/>
      <c r="I40" s="642">
        <v>1</v>
      </c>
      <c r="J40" s="642"/>
      <c r="K40" s="642">
        <v>2</v>
      </c>
      <c r="L40" s="642"/>
      <c r="M40" s="642"/>
      <c r="N40" s="728"/>
      <c r="O40" s="741">
        <f>SUM(C40:N40)</f>
        <v>6</v>
      </c>
      <c r="Q40" s="170"/>
      <c r="R40" s="170"/>
      <c r="S40" s="170"/>
      <c r="T40" s="170"/>
      <c r="U40" s="170"/>
      <c r="V40" s="170"/>
      <c r="W40" s="170"/>
      <c r="X40" s="170"/>
      <c r="Y40" s="170"/>
      <c r="Z40" s="170"/>
      <c r="AA40" s="170"/>
      <c r="AB40" s="170"/>
    </row>
    <row r="41" spans="1:36" ht="27" thickBot="1" x14ac:dyDescent="0.45">
      <c r="A41" s="167"/>
      <c r="B41" s="727" t="s">
        <v>86</v>
      </c>
      <c r="C41" s="729">
        <f>SUM(C27:C40)</f>
        <v>5</v>
      </c>
      <c r="D41" s="643">
        <f>SUM(D27:D40)</f>
        <v>6</v>
      </c>
      <c r="E41" s="643">
        <f>SUM(E27:E40)</f>
        <v>5</v>
      </c>
      <c r="F41" s="643">
        <f>SUM(F27:F40)</f>
        <v>6</v>
      </c>
      <c r="G41" s="643">
        <f t="shared" ref="G41" si="3">SUM(G27:G38)</f>
        <v>2</v>
      </c>
      <c r="H41" s="643">
        <f t="shared" ref="H41:M41" si="4">SUM(H27:H40)</f>
        <v>4</v>
      </c>
      <c r="I41" s="643">
        <f t="shared" si="4"/>
        <v>5</v>
      </c>
      <c r="J41" s="643">
        <f t="shared" si="4"/>
        <v>3</v>
      </c>
      <c r="K41" s="643">
        <f t="shared" si="4"/>
        <v>4</v>
      </c>
      <c r="L41" s="643">
        <f t="shared" si="4"/>
        <v>0</v>
      </c>
      <c r="M41" s="643">
        <f t="shared" si="4"/>
        <v>0</v>
      </c>
      <c r="N41" s="643">
        <f t="shared" ref="N41" si="5">SUM(N27:N40)</f>
        <v>0</v>
      </c>
      <c r="O41" s="717">
        <f>SUM(O27:O40)</f>
        <v>41</v>
      </c>
      <c r="AJ41" s="495"/>
    </row>
    <row r="42" spans="1:36" x14ac:dyDescent="0.25">
      <c r="A42" s="166"/>
    </row>
    <row r="43" spans="1:36" x14ac:dyDescent="0.25">
      <c r="A43" s="167"/>
    </row>
    <row r="44" spans="1:36" ht="26.25" x14ac:dyDescent="0.4">
      <c r="A44" s="167"/>
      <c r="C44" s="495"/>
      <c r="V44" s="169"/>
      <c r="W44" s="169"/>
      <c r="X44" s="169"/>
    </row>
    <row r="45" spans="1:36" ht="27" thickBot="1" x14ac:dyDescent="0.45">
      <c r="A45" s="166"/>
      <c r="R45" s="495"/>
    </row>
    <row r="46" spans="1:36" x14ac:dyDescent="0.25">
      <c r="A46" s="167"/>
      <c r="B46" s="164"/>
      <c r="C46" s="163"/>
      <c r="D46" s="163"/>
      <c r="E46" s="163"/>
      <c r="F46" s="163"/>
      <c r="G46" s="163"/>
      <c r="H46" s="163"/>
      <c r="I46" s="163"/>
      <c r="J46" s="163"/>
      <c r="K46" s="163"/>
      <c r="L46" s="163"/>
      <c r="M46" s="163"/>
      <c r="N46" s="162"/>
    </row>
    <row r="47" spans="1:36" x14ac:dyDescent="0.25">
      <c r="A47" s="167"/>
      <c r="B47" s="161"/>
      <c r="N47" s="160"/>
    </row>
    <row r="48" spans="1:36" x14ac:dyDescent="0.25">
      <c r="A48" s="167"/>
      <c r="B48" s="161"/>
      <c r="N48" s="160"/>
    </row>
    <row r="49" spans="1:38" x14ac:dyDescent="0.25">
      <c r="A49" s="167"/>
      <c r="B49" s="161"/>
      <c r="N49" s="160"/>
    </row>
    <row r="50" spans="1:38" x14ac:dyDescent="0.25">
      <c r="A50" s="166"/>
      <c r="B50" s="161"/>
      <c r="N50" s="160"/>
    </row>
    <row r="51" spans="1:38" x14ac:dyDescent="0.25">
      <c r="A51" s="167"/>
      <c r="B51" s="161"/>
      <c r="N51" s="160"/>
    </row>
    <row r="52" spans="1:38" x14ac:dyDescent="0.25">
      <c r="A52" s="167"/>
      <c r="B52" s="161"/>
      <c r="N52" s="160"/>
    </row>
    <row r="53" spans="1:38" x14ac:dyDescent="0.25">
      <c r="A53" s="167"/>
      <c r="B53" s="161"/>
      <c r="M53" s="168"/>
      <c r="N53" s="160"/>
    </row>
    <row r="54" spans="1:38" x14ac:dyDescent="0.25">
      <c r="A54" s="167"/>
      <c r="B54" s="161"/>
      <c r="N54" s="160"/>
    </row>
    <row r="55" spans="1:38" x14ac:dyDescent="0.25">
      <c r="A55" s="167"/>
      <c r="B55" s="161"/>
      <c r="N55" s="160"/>
    </row>
    <row r="56" spans="1:38" ht="26.25" x14ac:dyDescent="0.4">
      <c r="A56" s="166"/>
      <c r="B56" s="161"/>
      <c r="N56" s="160"/>
      <c r="AL56" s="495"/>
    </row>
    <row r="57" spans="1:38" ht="15.75" thickBot="1" x14ac:dyDescent="0.3">
      <c r="A57" s="167"/>
      <c r="B57" s="159"/>
      <c r="C57" s="158"/>
      <c r="D57" s="158"/>
      <c r="E57" s="158"/>
      <c r="F57" s="158"/>
      <c r="G57" s="158"/>
      <c r="H57" s="158"/>
      <c r="I57" s="158"/>
      <c r="J57" s="158"/>
      <c r="K57" s="158"/>
      <c r="L57" s="158"/>
      <c r="M57" s="158"/>
      <c r="N57" s="157"/>
    </row>
    <row r="58" spans="1:38" x14ac:dyDescent="0.25">
      <c r="A58" s="166"/>
    </row>
    <row r="60" spans="1:38" ht="26.25" x14ac:dyDescent="0.4">
      <c r="E60" s="495"/>
      <c r="H60" s="165"/>
      <c r="I60" s="165"/>
      <c r="J60" s="165"/>
    </row>
    <row r="61" spans="1:38" ht="18.75" thickBot="1" x14ac:dyDescent="0.3">
      <c r="R61" s="156"/>
    </row>
    <row r="62" spans="1:38" x14ac:dyDescent="0.25">
      <c r="B62" s="164"/>
      <c r="C62" s="163"/>
      <c r="D62" s="163"/>
      <c r="E62" s="163"/>
      <c r="F62" s="163"/>
      <c r="G62" s="163"/>
      <c r="H62" s="163"/>
      <c r="I62" s="163"/>
      <c r="J62" s="163"/>
      <c r="K62" s="163"/>
      <c r="L62" s="163"/>
      <c r="M62" s="163"/>
      <c r="N62" s="162"/>
    </row>
    <row r="63" spans="1:38" x14ac:dyDescent="0.25">
      <c r="B63" s="161"/>
      <c r="N63" s="160"/>
    </row>
    <row r="64" spans="1:38" x14ac:dyDescent="0.25">
      <c r="B64" s="161"/>
      <c r="N64" s="160"/>
      <c r="Y64" s="142"/>
    </row>
    <row r="65" spans="2:39" x14ac:dyDescent="0.25">
      <c r="B65" s="161"/>
      <c r="N65" s="160"/>
      <c r="Y65" s="142"/>
    </row>
    <row r="66" spans="2:39" x14ac:dyDescent="0.25">
      <c r="B66" s="161"/>
      <c r="N66" s="160"/>
      <c r="Y66" s="142"/>
    </row>
    <row r="67" spans="2:39" x14ac:dyDescent="0.25">
      <c r="B67" s="161"/>
      <c r="N67" s="160"/>
      <c r="Y67" s="142"/>
    </row>
    <row r="68" spans="2:39" x14ac:dyDescent="0.25">
      <c r="B68" s="161"/>
      <c r="N68" s="160"/>
    </row>
    <row r="69" spans="2:39" x14ac:dyDescent="0.25">
      <c r="B69" s="161"/>
      <c r="N69" s="160"/>
    </row>
    <row r="70" spans="2:39" x14ac:dyDescent="0.25">
      <c r="B70" s="161"/>
      <c r="N70" s="160"/>
    </row>
    <row r="71" spans="2:39" x14ac:dyDescent="0.25">
      <c r="B71" s="161"/>
      <c r="N71" s="160"/>
    </row>
    <row r="72" spans="2:39" ht="15.75" thickBot="1" x14ac:dyDescent="0.3">
      <c r="B72" s="159"/>
      <c r="C72" s="158"/>
      <c r="D72" s="158"/>
      <c r="E72" s="158"/>
      <c r="F72" s="158"/>
      <c r="G72" s="158"/>
      <c r="H72" s="158"/>
      <c r="I72" s="158"/>
      <c r="J72" s="158"/>
      <c r="K72" s="158"/>
      <c r="L72" s="158"/>
      <c r="M72" s="158"/>
      <c r="N72" s="157"/>
    </row>
    <row r="74" spans="2:39" ht="26.25" x14ac:dyDescent="0.4">
      <c r="E74" s="156"/>
      <c r="F74" s="495"/>
      <c r="H74" s="495"/>
      <c r="I74" s="495"/>
      <c r="W74" s="495"/>
    </row>
    <row r="75" spans="2:39" ht="26.25" x14ac:dyDescent="0.4">
      <c r="B75" s="154"/>
      <c r="C75" s="154"/>
      <c r="E75" s="154"/>
      <c r="F75" s="155"/>
      <c r="G75" s="155"/>
      <c r="I75" s="155"/>
      <c r="J75" s="155"/>
      <c r="L75" s="154"/>
      <c r="AM75" s="495"/>
    </row>
    <row r="76" spans="2:39" x14ac:dyDescent="0.25">
      <c r="H76" s="153"/>
      <c r="K76" s="153"/>
    </row>
    <row r="77" spans="2:39" ht="18.75" x14ac:dyDescent="0.3">
      <c r="B77" s="145"/>
      <c r="C77" s="143"/>
      <c r="D77" s="151"/>
      <c r="E77" s="149"/>
      <c r="F77" s="143"/>
      <c r="G77" s="151"/>
      <c r="H77" s="151"/>
      <c r="I77" s="143"/>
      <c r="J77" s="151"/>
      <c r="M77" s="143"/>
    </row>
    <row r="78" spans="2:39" ht="18.75" x14ac:dyDescent="0.3">
      <c r="B78" s="145"/>
      <c r="C78" s="143"/>
      <c r="D78" s="151"/>
      <c r="E78" s="149"/>
      <c r="F78" s="143"/>
      <c r="G78" s="151"/>
      <c r="H78" s="151"/>
      <c r="I78" s="143"/>
      <c r="J78" s="151"/>
      <c r="M78" s="143"/>
      <c r="AC78" s="152"/>
      <c r="AD78" s="152"/>
      <c r="AE78" s="152"/>
      <c r="AF78" s="59"/>
    </row>
    <row r="79" spans="2:39" ht="18.75" x14ac:dyDescent="0.3">
      <c r="B79" s="145"/>
      <c r="C79" s="143"/>
      <c r="D79" s="151"/>
      <c r="E79" s="149"/>
      <c r="F79" s="143"/>
      <c r="G79" s="151"/>
      <c r="H79" s="151"/>
      <c r="I79" s="143"/>
      <c r="J79" s="151"/>
      <c r="M79" s="143"/>
      <c r="AC79" s="59"/>
      <c r="AD79" s="141"/>
      <c r="AE79" s="59"/>
      <c r="AF79" s="59"/>
    </row>
    <row r="80" spans="2:39" ht="18.75" x14ac:dyDescent="0.3">
      <c r="B80" s="145"/>
      <c r="C80" s="143"/>
      <c r="D80" s="151"/>
      <c r="E80" s="149"/>
      <c r="F80" s="143"/>
      <c r="G80" s="151"/>
      <c r="H80" s="151"/>
      <c r="I80" s="143"/>
      <c r="J80" s="151"/>
      <c r="M80" s="143"/>
      <c r="AC80" s="59"/>
      <c r="AD80" s="141"/>
      <c r="AE80" s="59"/>
      <c r="AF80" s="59"/>
    </row>
    <row r="81" spans="2:38" ht="18.75" x14ac:dyDescent="0.3">
      <c r="B81" s="145"/>
      <c r="C81" s="143"/>
      <c r="D81" s="148"/>
      <c r="E81" s="149"/>
      <c r="F81" s="143"/>
      <c r="G81" s="148"/>
      <c r="H81" s="150"/>
      <c r="I81" s="143"/>
      <c r="J81" s="143"/>
      <c r="M81" s="143"/>
      <c r="AC81" s="59"/>
      <c r="AD81" s="141"/>
      <c r="AE81" s="59"/>
      <c r="AF81" s="59"/>
    </row>
    <row r="82" spans="2:38" ht="18.75" x14ac:dyDescent="0.3">
      <c r="B82" s="145"/>
      <c r="C82" s="143"/>
      <c r="D82" s="148"/>
      <c r="E82" s="149"/>
      <c r="F82" s="143"/>
      <c r="G82" s="148"/>
      <c r="H82" s="148"/>
      <c r="I82" s="143"/>
      <c r="J82" s="143"/>
      <c r="M82" s="143"/>
      <c r="AC82" s="59"/>
      <c r="AD82" s="141"/>
      <c r="AE82" s="59"/>
      <c r="AF82" s="59"/>
    </row>
    <row r="83" spans="2:38" ht="18.75" x14ac:dyDescent="0.3">
      <c r="B83" s="145"/>
      <c r="C83" s="144"/>
      <c r="E83" s="147"/>
      <c r="F83" s="143"/>
      <c r="I83" s="143"/>
      <c r="J83" s="142"/>
      <c r="K83" s="142"/>
      <c r="L83" s="142"/>
      <c r="M83" s="143"/>
      <c r="N83" s="142"/>
      <c r="S83" s="153"/>
      <c r="AC83" s="59"/>
      <c r="AD83" s="141"/>
      <c r="AE83" s="59"/>
      <c r="AF83" s="59"/>
    </row>
    <row r="84" spans="2:38" ht="18.75" x14ac:dyDescent="0.3">
      <c r="B84" s="145"/>
      <c r="C84" s="144"/>
      <c r="F84" s="143"/>
      <c r="I84" s="143"/>
      <c r="J84" s="142"/>
      <c r="K84" s="142"/>
      <c r="L84" s="142"/>
      <c r="M84" s="143"/>
      <c r="N84" s="142"/>
      <c r="AC84" s="59"/>
      <c r="AD84" s="141"/>
      <c r="AE84" s="59"/>
    </row>
    <row r="85" spans="2:38" x14ac:dyDescent="0.25">
      <c r="AC85" s="59"/>
      <c r="AD85" s="141"/>
      <c r="AE85" s="59"/>
      <c r="AF85" s="59"/>
    </row>
    <row r="86" spans="2:38" x14ac:dyDescent="0.25">
      <c r="AC86" s="59"/>
      <c r="AD86" s="141"/>
      <c r="AE86" s="59"/>
      <c r="AF86" s="59"/>
    </row>
    <row r="87" spans="2:38" x14ac:dyDescent="0.25">
      <c r="AC87" s="140"/>
      <c r="AD87" s="139"/>
      <c r="AE87" s="138"/>
      <c r="AF87" s="59"/>
    </row>
    <row r="88" spans="2:38" x14ac:dyDescent="0.25">
      <c r="B88" s="137"/>
      <c r="C88" s="136"/>
    </row>
    <row r="89" spans="2:38" x14ac:dyDescent="0.25">
      <c r="B89" s="136"/>
      <c r="C89" s="134"/>
    </row>
    <row r="90" spans="2:38" x14ac:dyDescent="0.25">
      <c r="B90" s="136"/>
      <c r="C90" s="134"/>
    </row>
    <row r="91" spans="2:38" x14ac:dyDescent="0.25">
      <c r="B91" s="136"/>
      <c r="C91" s="134"/>
    </row>
    <row r="92" spans="2:38" ht="36" x14ac:dyDescent="0.55000000000000004">
      <c r="B92" s="136"/>
      <c r="C92" s="134"/>
      <c r="F92" s="503"/>
      <c r="W92" s="504"/>
      <c r="AL92" s="495"/>
    </row>
    <row r="93" spans="2:38" x14ac:dyDescent="0.25">
      <c r="B93" s="136"/>
      <c r="C93" s="134"/>
    </row>
    <row r="94" spans="2:38" x14ac:dyDescent="0.25">
      <c r="B94" s="136"/>
      <c r="C94" s="134"/>
    </row>
    <row r="95" spans="2:38" x14ac:dyDescent="0.25">
      <c r="B95" s="136"/>
      <c r="C95" s="134"/>
    </row>
    <row r="96" spans="2:38" x14ac:dyDescent="0.25">
      <c r="B96" s="136"/>
      <c r="C96" s="134"/>
    </row>
    <row r="97" spans="2:3" x14ac:dyDescent="0.25">
      <c r="B97" s="135"/>
      <c r="C97" s="134"/>
    </row>
  </sheetData>
  <sheetProtection formatCells="0" formatColumns="0" formatRows="0" insertColumns="0" insertRows="0" insertHyperlinks="0" deleteColumns="0" deleteRows="0" sort="0" autoFilter="0" pivotTables="0"/>
  <mergeCells count="18">
    <mergeCell ref="R6:V6"/>
    <mergeCell ref="AA27:AA31"/>
    <mergeCell ref="S30:S31"/>
    <mergeCell ref="R30:R31"/>
    <mergeCell ref="Z27:Z31"/>
    <mergeCell ref="AB27:AB31"/>
    <mergeCell ref="Q27:T27"/>
    <mergeCell ref="U27:V27"/>
    <mergeCell ref="X27:X31"/>
    <mergeCell ref="Q28:Q29"/>
    <mergeCell ref="S28:T29"/>
    <mergeCell ref="T30:T31"/>
    <mergeCell ref="Y27:Y31"/>
    <mergeCell ref="W28:W31"/>
    <mergeCell ref="R28:R29"/>
    <mergeCell ref="U28:U31"/>
    <mergeCell ref="V28:V31"/>
    <mergeCell ref="Q30:Q31"/>
  </mergeCells>
  <phoneticPr fontId="47" type="noConversion"/>
  <conditionalFormatting sqref="X8">
    <cfRule type="cellIs" dxfId="3" priority="1" operator="lessThan">
      <formula>2.6</formula>
    </cfRule>
  </conditionalFormatting>
  <conditionalFormatting sqref="X10">
    <cfRule type="cellIs" dxfId="2" priority="2" operator="equal">
      <formula>0</formula>
    </cfRule>
  </conditionalFormatting>
  <pageMargins left="0" right="0" top="0" bottom="0" header="0" footer="0"/>
  <pageSetup paperSize="3" scale="59" orientation="landscape"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C174C-F165-4F17-9980-681EADF8FA64}">
  <sheetPr codeName="Sheet30"/>
  <dimension ref="A1:AO39"/>
  <sheetViews>
    <sheetView zoomScaleNormal="100" workbookViewId="0">
      <selection activeCell="K14" sqref="K14"/>
    </sheetView>
  </sheetViews>
  <sheetFormatPr defaultColWidth="9.140625" defaultRowHeight="12.75" x14ac:dyDescent="0.2"/>
  <cols>
    <col min="1" max="20" width="9.140625" style="98"/>
    <col min="21" max="21" width="21.140625" style="98" bestFit="1" customWidth="1"/>
    <col min="22" max="16384" width="9.140625" style="98"/>
  </cols>
  <sheetData>
    <row r="1" spans="1:41" ht="23.25" x14ac:dyDescent="0.35">
      <c r="A1" s="132" t="s">
        <v>65</v>
      </c>
      <c r="R1" s="98" t="s">
        <v>64</v>
      </c>
      <c r="S1" s="98" t="s">
        <v>63</v>
      </c>
      <c r="V1" s="98">
        <v>20</v>
      </c>
    </row>
    <row r="2" spans="1:41" x14ac:dyDescent="0.2">
      <c r="S2" s="98" t="s">
        <v>62</v>
      </c>
      <c r="V2" s="98">
        <v>144</v>
      </c>
      <c r="AF2" s="98" t="s">
        <v>61</v>
      </c>
      <c r="AH2" s="98">
        <v>8</v>
      </c>
      <c r="AN2" s="118" t="s">
        <v>47</v>
      </c>
      <c r="AO2" s="115">
        <f>SUM(AC2:AN2)</f>
        <v>8</v>
      </c>
    </row>
    <row r="3" spans="1:41" ht="13.5" thickBot="1" x14ac:dyDescent="0.25">
      <c r="AN3" s="118" t="s">
        <v>38</v>
      </c>
      <c r="AO3" s="115">
        <f t="shared" ref="AO3:AO30" si="0">SUM(AC3:AN3)</f>
        <v>0</v>
      </c>
    </row>
    <row r="4" spans="1:41" ht="13.5" thickBot="1" x14ac:dyDescent="0.25">
      <c r="B4" s="107"/>
      <c r="C4" s="106"/>
      <c r="D4" s="106"/>
      <c r="E4" s="106"/>
      <c r="F4" s="131" t="s">
        <v>60</v>
      </c>
      <c r="G4" s="130" t="s">
        <v>59</v>
      </c>
      <c r="H4" s="130" t="s">
        <v>58</v>
      </c>
      <c r="I4" s="130" t="s">
        <v>57</v>
      </c>
      <c r="J4" s="130" t="s">
        <v>56</v>
      </c>
      <c r="K4" s="130" t="s">
        <v>55</v>
      </c>
      <c r="L4" s="130" t="s">
        <v>54</v>
      </c>
      <c r="M4" s="130" t="s">
        <v>53</v>
      </c>
      <c r="N4" s="130" t="s">
        <v>52</v>
      </c>
      <c r="O4" s="130" t="s">
        <v>51</v>
      </c>
      <c r="P4" s="130" t="s">
        <v>50</v>
      </c>
      <c r="Q4" s="129" t="s">
        <v>49</v>
      </c>
      <c r="R4" s="105" t="s">
        <v>48</v>
      </c>
      <c r="U4" s="128"/>
      <c r="V4" s="127" t="s">
        <v>60</v>
      </c>
      <c r="W4" s="127" t="s">
        <v>59</v>
      </c>
      <c r="X4" s="127" t="s">
        <v>58</v>
      </c>
      <c r="Y4" s="127" t="s">
        <v>57</v>
      </c>
      <c r="Z4" s="127" t="s">
        <v>56</v>
      </c>
      <c r="AA4" s="127" t="s">
        <v>55</v>
      </c>
      <c r="AB4" s="127" t="s">
        <v>54</v>
      </c>
      <c r="AC4" s="127" t="s">
        <v>53</v>
      </c>
      <c r="AD4" s="127" t="s">
        <v>52</v>
      </c>
      <c r="AE4" s="127" t="s">
        <v>51</v>
      </c>
      <c r="AF4" s="127" t="s">
        <v>50</v>
      </c>
      <c r="AG4" s="127" t="s">
        <v>49</v>
      </c>
      <c r="AH4" s="126" t="s">
        <v>48</v>
      </c>
      <c r="AN4" s="118" t="s">
        <v>34</v>
      </c>
      <c r="AO4" s="115">
        <f t="shared" si="0"/>
        <v>0</v>
      </c>
    </row>
    <row r="5" spans="1:41" x14ac:dyDescent="0.2">
      <c r="B5" s="118" t="s">
        <v>47</v>
      </c>
      <c r="C5" s="117"/>
      <c r="D5" s="117"/>
      <c r="E5" s="117"/>
      <c r="F5" s="116"/>
      <c r="G5" s="116"/>
      <c r="H5" s="116"/>
      <c r="I5" s="116"/>
      <c r="J5" s="116"/>
      <c r="K5" s="116"/>
      <c r="L5" s="116"/>
      <c r="M5" s="116"/>
      <c r="N5" s="116"/>
      <c r="O5" s="116"/>
      <c r="P5" s="116"/>
      <c r="Q5" s="116"/>
      <c r="R5" s="115">
        <f t="shared" ref="R5:R33" si="1">SUM(F5:Q5)</f>
        <v>0</v>
      </c>
      <c r="U5" s="111" t="s">
        <v>81</v>
      </c>
      <c r="V5" s="125">
        <v>4</v>
      </c>
      <c r="W5" s="124">
        <v>2</v>
      </c>
      <c r="X5" s="124">
        <v>1</v>
      </c>
      <c r="Y5" s="124"/>
      <c r="Z5" s="124"/>
      <c r="AA5" s="124"/>
      <c r="AB5" s="124"/>
      <c r="AC5" s="124"/>
      <c r="AD5" s="124"/>
      <c r="AE5" s="124"/>
      <c r="AF5" s="124">
        <v>6</v>
      </c>
      <c r="AG5" s="123"/>
      <c r="AH5" s="111">
        <f t="shared" ref="AH5:AH33" si="2">SUM(V5:AG5)</f>
        <v>13</v>
      </c>
      <c r="AN5" s="118" t="s">
        <v>43</v>
      </c>
      <c r="AO5" s="115">
        <f t="shared" si="0"/>
        <v>19</v>
      </c>
    </row>
    <row r="6" spans="1:41" ht="15" x14ac:dyDescent="0.2">
      <c r="B6" s="121" t="s">
        <v>46</v>
      </c>
      <c r="F6" s="120">
        <v>3</v>
      </c>
      <c r="G6" s="120">
        <v>2</v>
      </c>
      <c r="H6" s="120"/>
      <c r="I6" s="120"/>
      <c r="J6" s="120"/>
      <c r="K6" s="120"/>
      <c r="L6" s="120"/>
      <c r="M6" s="120"/>
      <c r="N6" s="120"/>
      <c r="O6" s="120"/>
      <c r="P6" s="120"/>
      <c r="Q6" s="120"/>
      <c r="R6" s="119">
        <f t="shared" si="1"/>
        <v>5</v>
      </c>
      <c r="U6" s="122" t="s">
        <v>67</v>
      </c>
      <c r="V6" s="114">
        <v>3</v>
      </c>
      <c r="W6" s="113"/>
      <c r="X6" s="113"/>
      <c r="Y6" s="113"/>
      <c r="Z6" s="113"/>
      <c r="AA6" s="113"/>
      <c r="AB6" s="113"/>
      <c r="AC6" s="113"/>
      <c r="AD6" s="113"/>
      <c r="AE6" s="113"/>
      <c r="AF6" s="113">
        <v>4</v>
      </c>
      <c r="AG6" s="112">
        <v>4</v>
      </c>
      <c r="AH6" s="111">
        <f t="shared" si="2"/>
        <v>11</v>
      </c>
      <c r="AN6" s="121" t="s">
        <v>44</v>
      </c>
      <c r="AO6" s="119">
        <f t="shared" si="0"/>
        <v>19</v>
      </c>
    </row>
    <row r="7" spans="1:41" ht="15" x14ac:dyDescent="0.2">
      <c r="B7" s="118" t="s">
        <v>45</v>
      </c>
      <c r="C7" s="117"/>
      <c r="D7" s="117"/>
      <c r="E7" s="117"/>
      <c r="F7" s="116">
        <v>3</v>
      </c>
      <c r="G7" s="116">
        <v>2</v>
      </c>
      <c r="H7" s="116"/>
      <c r="I7" s="116"/>
      <c r="J7" s="116"/>
      <c r="K7" s="116"/>
      <c r="L7" s="116"/>
      <c r="M7" s="116"/>
      <c r="N7" s="116"/>
      <c r="O7" s="116"/>
      <c r="P7" s="116"/>
      <c r="Q7" s="116"/>
      <c r="R7" s="115">
        <f t="shared" si="1"/>
        <v>5</v>
      </c>
      <c r="U7" s="122" t="s">
        <v>71</v>
      </c>
      <c r="V7" s="114"/>
      <c r="W7" s="113"/>
      <c r="X7" s="113"/>
      <c r="Y7" s="113"/>
      <c r="Z7" s="113"/>
      <c r="AA7" s="113"/>
      <c r="AB7" s="113"/>
      <c r="AC7" s="113"/>
      <c r="AD7" s="113"/>
      <c r="AE7" s="113"/>
      <c r="AF7" s="113"/>
      <c r="AG7" s="112"/>
      <c r="AH7" s="111">
        <f t="shared" si="2"/>
        <v>0</v>
      </c>
      <c r="AN7" s="121" t="s">
        <v>39</v>
      </c>
      <c r="AO7" s="119">
        <f t="shared" si="0"/>
        <v>0</v>
      </c>
    </row>
    <row r="8" spans="1:41" ht="15" x14ac:dyDescent="0.2">
      <c r="B8" s="121" t="s">
        <v>44</v>
      </c>
      <c r="F8" s="120">
        <v>8</v>
      </c>
      <c r="G8" s="120">
        <v>7</v>
      </c>
      <c r="I8" s="120"/>
      <c r="J8" s="120"/>
      <c r="K8" s="120"/>
      <c r="L8" s="120"/>
      <c r="M8" s="120"/>
      <c r="N8" s="120"/>
      <c r="O8" s="120"/>
      <c r="P8" s="120"/>
      <c r="Q8" s="120"/>
      <c r="R8" s="119">
        <f t="shared" si="1"/>
        <v>15</v>
      </c>
      <c r="U8" s="122" t="s">
        <v>69</v>
      </c>
      <c r="V8" s="114"/>
      <c r="W8" s="113"/>
      <c r="X8" s="113"/>
      <c r="Y8" s="113"/>
      <c r="Z8" s="113"/>
      <c r="AA8" s="113"/>
      <c r="AB8" s="113"/>
      <c r="AC8" s="113"/>
      <c r="AD8" s="113"/>
      <c r="AE8" s="113"/>
      <c r="AF8" s="113"/>
      <c r="AG8" s="112"/>
      <c r="AH8" s="111">
        <f t="shared" si="2"/>
        <v>0</v>
      </c>
      <c r="AN8" s="118" t="s">
        <v>42</v>
      </c>
      <c r="AO8" s="115">
        <f t="shared" si="0"/>
        <v>0</v>
      </c>
    </row>
    <row r="9" spans="1:41" x14ac:dyDescent="0.2">
      <c r="B9" s="118" t="s">
        <v>43</v>
      </c>
      <c r="C9" s="117"/>
      <c r="D9" s="117"/>
      <c r="E9" s="117"/>
      <c r="F9" s="116">
        <v>7</v>
      </c>
      <c r="G9" s="116">
        <v>4</v>
      </c>
      <c r="I9" s="116"/>
      <c r="J9" s="116"/>
      <c r="K9" s="116"/>
      <c r="L9" s="116"/>
      <c r="M9" s="116"/>
      <c r="N9" s="116"/>
      <c r="O9" s="116"/>
      <c r="P9" s="116"/>
      <c r="Q9" s="116"/>
      <c r="R9" s="115">
        <f t="shared" si="1"/>
        <v>11</v>
      </c>
      <c r="U9" s="111" t="s">
        <v>69</v>
      </c>
      <c r="V9" s="114"/>
      <c r="W9" s="113"/>
      <c r="X9" s="113"/>
      <c r="Y9" s="113"/>
      <c r="Z9" s="113"/>
      <c r="AA9" s="113"/>
      <c r="AB9" s="113"/>
      <c r="AC9" s="113"/>
      <c r="AD9" s="113"/>
      <c r="AE9" s="113"/>
      <c r="AF9" s="113"/>
      <c r="AG9" s="112"/>
      <c r="AH9" s="111">
        <f t="shared" si="2"/>
        <v>0</v>
      </c>
      <c r="AN9" s="121" t="s">
        <v>37</v>
      </c>
      <c r="AO9" s="119">
        <f t="shared" si="0"/>
        <v>0</v>
      </c>
    </row>
    <row r="10" spans="1:41" x14ac:dyDescent="0.2">
      <c r="B10" s="121" t="s">
        <v>83</v>
      </c>
      <c r="F10" s="120"/>
      <c r="G10" s="120"/>
      <c r="I10" s="120"/>
      <c r="J10" s="120"/>
      <c r="K10" s="120"/>
      <c r="L10" s="120"/>
      <c r="M10" s="120"/>
      <c r="N10" s="120"/>
      <c r="O10" s="120"/>
      <c r="P10" s="120"/>
      <c r="Q10" s="120"/>
      <c r="R10" s="119">
        <f t="shared" si="1"/>
        <v>0</v>
      </c>
      <c r="U10" s="111" t="s">
        <v>76</v>
      </c>
      <c r="V10" s="114">
        <v>2</v>
      </c>
      <c r="W10" s="113">
        <v>6</v>
      </c>
      <c r="X10" s="113"/>
      <c r="Y10" s="113"/>
      <c r="Z10" s="113"/>
      <c r="AA10" s="113"/>
      <c r="AB10" s="113"/>
      <c r="AC10" s="113"/>
      <c r="AD10" s="113"/>
      <c r="AE10" s="113"/>
      <c r="AF10" s="113">
        <v>2</v>
      </c>
      <c r="AG10" s="112">
        <v>2</v>
      </c>
      <c r="AH10" s="111">
        <f t="shared" si="2"/>
        <v>12</v>
      </c>
      <c r="AN10" s="118" t="s">
        <v>28</v>
      </c>
      <c r="AO10" s="115">
        <f t="shared" si="0"/>
        <v>16</v>
      </c>
    </row>
    <row r="11" spans="1:41" x14ac:dyDescent="0.2">
      <c r="B11" s="118" t="s">
        <v>84</v>
      </c>
      <c r="C11" s="117"/>
      <c r="D11" s="117"/>
      <c r="E11" s="117"/>
      <c r="F11" s="116"/>
      <c r="G11" s="116"/>
      <c r="I11" s="116"/>
      <c r="J11" s="116"/>
      <c r="K11" s="116"/>
      <c r="L11" s="116"/>
      <c r="M11" s="116"/>
      <c r="N11" s="116"/>
      <c r="O11" s="116"/>
      <c r="P11" s="116"/>
      <c r="Q11" s="116"/>
      <c r="R11" s="115">
        <f t="shared" si="1"/>
        <v>0</v>
      </c>
      <c r="U11" s="111" t="s">
        <v>73</v>
      </c>
      <c r="V11" s="114"/>
      <c r="W11" s="113"/>
      <c r="X11" s="113"/>
      <c r="Y11" s="113"/>
      <c r="Z11" s="113"/>
      <c r="AA11" s="113"/>
      <c r="AB11" s="113"/>
      <c r="AC11" s="113"/>
      <c r="AD11" s="113"/>
      <c r="AE11" s="113"/>
      <c r="AF11" s="113"/>
      <c r="AG11" s="112"/>
      <c r="AH11" s="111">
        <f t="shared" si="2"/>
        <v>0</v>
      </c>
      <c r="AN11" s="118" t="s">
        <v>30</v>
      </c>
      <c r="AO11" s="115">
        <f t="shared" si="0"/>
        <v>0</v>
      </c>
    </row>
    <row r="12" spans="1:41" x14ac:dyDescent="0.2">
      <c r="B12" s="121" t="s">
        <v>85</v>
      </c>
      <c r="F12" s="120"/>
      <c r="G12" s="120"/>
      <c r="I12" s="120"/>
      <c r="J12" s="120"/>
      <c r="K12" s="120"/>
      <c r="L12" s="120"/>
      <c r="M12" s="120"/>
      <c r="N12" s="120"/>
      <c r="O12" s="120"/>
      <c r="P12" s="120"/>
      <c r="Q12" s="120"/>
      <c r="R12" s="119">
        <f t="shared" si="1"/>
        <v>0</v>
      </c>
      <c r="U12" s="111" t="s">
        <v>79</v>
      </c>
      <c r="V12" s="114"/>
      <c r="W12" s="113"/>
      <c r="X12" s="113"/>
      <c r="Y12" s="113"/>
      <c r="Z12" s="113"/>
      <c r="AA12" s="113"/>
      <c r="AB12" s="113"/>
      <c r="AC12" s="113"/>
      <c r="AD12" s="113"/>
      <c r="AE12" s="113"/>
      <c r="AF12" s="113"/>
      <c r="AG12" s="112"/>
      <c r="AH12" s="111">
        <f t="shared" si="2"/>
        <v>0</v>
      </c>
      <c r="AN12" s="121" t="s">
        <v>46</v>
      </c>
      <c r="AO12" s="119">
        <f t="shared" si="0"/>
        <v>0</v>
      </c>
    </row>
    <row r="13" spans="1:41" x14ac:dyDescent="0.2">
      <c r="B13" s="118" t="s">
        <v>42</v>
      </c>
      <c r="C13" s="117"/>
      <c r="D13" s="117"/>
      <c r="E13" s="117"/>
      <c r="F13" s="116">
        <v>2</v>
      </c>
      <c r="G13" s="116">
        <v>2</v>
      </c>
      <c r="I13" s="116"/>
      <c r="J13" s="116"/>
      <c r="K13" s="116"/>
      <c r="L13" s="116"/>
      <c r="M13" s="116"/>
      <c r="N13" s="116"/>
      <c r="O13" s="116"/>
      <c r="P13" s="116"/>
      <c r="Q13" s="116"/>
      <c r="R13" s="115">
        <f t="shared" si="1"/>
        <v>4</v>
      </c>
      <c r="U13" s="111" t="s">
        <v>72</v>
      </c>
      <c r="V13" s="114">
        <v>8</v>
      </c>
      <c r="W13" s="113">
        <v>6</v>
      </c>
      <c r="X13" s="113"/>
      <c r="Y13" s="113"/>
      <c r="Z13" s="113"/>
      <c r="AA13" s="113"/>
      <c r="AB13" s="113"/>
      <c r="AC13" s="113"/>
      <c r="AD13" s="113"/>
      <c r="AE13" s="113"/>
      <c r="AF13" s="113">
        <v>2</v>
      </c>
      <c r="AG13" s="112"/>
      <c r="AH13" s="111">
        <f t="shared" si="2"/>
        <v>16</v>
      </c>
      <c r="AN13" s="118" t="s">
        <v>45</v>
      </c>
      <c r="AO13" s="115">
        <f t="shared" si="0"/>
        <v>18</v>
      </c>
    </row>
    <row r="14" spans="1:41" ht="15" x14ac:dyDescent="0.2">
      <c r="B14" s="121" t="s">
        <v>41</v>
      </c>
      <c r="F14" s="120">
        <v>4</v>
      </c>
      <c r="G14" s="120">
        <v>5</v>
      </c>
      <c r="I14" s="120"/>
      <c r="J14" s="120"/>
      <c r="K14" s="120"/>
      <c r="L14" s="120"/>
      <c r="M14" s="120"/>
      <c r="N14" s="120"/>
      <c r="O14" s="120"/>
      <c r="P14" s="120"/>
      <c r="Q14" s="120"/>
      <c r="R14" s="119">
        <f t="shared" si="1"/>
        <v>9</v>
      </c>
      <c r="U14" s="122" t="s">
        <v>66</v>
      </c>
      <c r="V14" s="114">
        <v>8</v>
      </c>
      <c r="W14" s="113">
        <v>7</v>
      </c>
      <c r="X14" s="113"/>
      <c r="Y14" s="113"/>
      <c r="Z14" s="113"/>
      <c r="AA14" s="113"/>
      <c r="AB14" s="113"/>
      <c r="AC14" s="113"/>
      <c r="AD14" s="113"/>
      <c r="AE14" s="113"/>
      <c r="AF14" s="113">
        <v>2</v>
      </c>
      <c r="AG14" s="112">
        <v>2</v>
      </c>
      <c r="AH14" s="111">
        <f t="shared" si="2"/>
        <v>19</v>
      </c>
      <c r="AN14" s="121" t="s">
        <v>83</v>
      </c>
      <c r="AO14" s="119">
        <f t="shared" si="0"/>
        <v>23</v>
      </c>
    </row>
    <row r="15" spans="1:41" x14ac:dyDescent="0.2">
      <c r="B15" s="118" t="s">
        <v>40</v>
      </c>
      <c r="C15" s="117"/>
      <c r="D15" s="117"/>
      <c r="E15" s="117"/>
      <c r="F15" s="116">
        <v>1</v>
      </c>
      <c r="G15" s="116">
        <v>3</v>
      </c>
      <c r="I15" s="116"/>
      <c r="J15" s="116"/>
      <c r="K15" s="116"/>
      <c r="L15" s="116"/>
      <c r="M15" s="116"/>
      <c r="N15" s="116"/>
      <c r="O15" s="116"/>
      <c r="P15" s="116"/>
      <c r="Q15" s="116"/>
      <c r="R15" s="115">
        <f t="shared" si="1"/>
        <v>4</v>
      </c>
      <c r="U15" s="111" t="s">
        <v>82</v>
      </c>
      <c r="V15" s="114">
        <v>1</v>
      </c>
      <c r="W15" s="113">
        <v>2</v>
      </c>
      <c r="X15" s="113"/>
      <c r="Y15" s="113"/>
      <c r="Z15" s="113"/>
      <c r="AA15" s="113"/>
      <c r="AB15" s="113"/>
      <c r="AC15" s="113"/>
      <c r="AD15" s="113"/>
      <c r="AE15" s="113"/>
      <c r="AF15" s="113">
        <v>4</v>
      </c>
      <c r="AG15" s="112">
        <v>2</v>
      </c>
      <c r="AH15" s="111">
        <f t="shared" si="2"/>
        <v>9</v>
      </c>
      <c r="AN15" s="118" t="s">
        <v>84</v>
      </c>
      <c r="AO15" s="115">
        <f t="shared" si="0"/>
        <v>15</v>
      </c>
    </row>
    <row r="16" spans="1:41" x14ac:dyDescent="0.2">
      <c r="B16" s="121" t="s">
        <v>39</v>
      </c>
      <c r="F16" s="120">
        <v>5</v>
      </c>
      <c r="G16" s="120">
        <v>3</v>
      </c>
      <c r="I16" s="120"/>
      <c r="J16" s="120"/>
      <c r="K16" s="120"/>
      <c r="L16" s="120"/>
      <c r="M16" s="120"/>
      <c r="N16" s="120"/>
      <c r="O16" s="120"/>
      <c r="P16" s="120"/>
      <c r="Q16" s="120"/>
      <c r="R16" s="119">
        <f t="shared" si="1"/>
        <v>8</v>
      </c>
      <c r="U16" s="111" t="s">
        <v>77</v>
      </c>
      <c r="V16" s="114"/>
      <c r="W16" s="113"/>
      <c r="X16" s="113"/>
      <c r="Y16" s="113"/>
      <c r="Z16" s="113"/>
      <c r="AA16" s="113"/>
      <c r="AB16" s="113"/>
      <c r="AC16" s="113"/>
      <c r="AD16" s="113"/>
      <c r="AE16" s="113"/>
      <c r="AF16" s="113"/>
      <c r="AG16" s="112"/>
      <c r="AH16" s="111">
        <f t="shared" si="2"/>
        <v>0</v>
      </c>
      <c r="AN16" s="121" t="s">
        <v>85</v>
      </c>
      <c r="AO16" s="119">
        <f t="shared" si="0"/>
        <v>0</v>
      </c>
    </row>
    <row r="17" spans="2:41" ht="15" x14ac:dyDescent="0.2">
      <c r="B17" s="118" t="s">
        <v>38</v>
      </c>
      <c r="C17" s="117"/>
      <c r="D17" s="117"/>
      <c r="E17" s="117"/>
      <c r="F17" s="116">
        <v>6</v>
      </c>
      <c r="G17" s="116">
        <v>4</v>
      </c>
      <c r="I17" s="116"/>
      <c r="J17" s="116"/>
      <c r="K17" s="116"/>
      <c r="L17" s="116"/>
      <c r="M17" s="116"/>
      <c r="N17" s="116"/>
      <c r="O17" s="116"/>
      <c r="P17" s="116"/>
      <c r="Q17" s="116"/>
      <c r="R17" s="115">
        <f t="shared" si="1"/>
        <v>10</v>
      </c>
      <c r="U17" s="122" t="s">
        <v>68</v>
      </c>
      <c r="V17" s="114"/>
      <c r="W17" s="113"/>
      <c r="X17" s="113"/>
      <c r="Y17" s="113"/>
      <c r="Z17" s="113"/>
      <c r="AA17" s="113"/>
      <c r="AB17" s="113"/>
      <c r="AC17" s="113"/>
      <c r="AD17" s="113"/>
      <c r="AE17" s="113"/>
      <c r="AF17" s="113"/>
      <c r="AG17" s="112"/>
      <c r="AH17" s="111">
        <f t="shared" si="2"/>
        <v>0</v>
      </c>
      <c r="AN17" s="121" t="s">
        <v>41</v>
      </c>
      <c r="AO17" s="119">
        <f t="shared" si="0"/>
        <v>0</v>
      </c>
    </row>
    <row r="18" spans="2:41" x14ac:dyDescent="0.2">
      <c r="B18" s="121" t="s">
        <v>37</v>
      </c>
      <c r="F18" s="120">
        <v>4</v>
      </c>
      <c r="G18" s="120">
        <v>2</v>
      </c>
      <c r="I18" s="120"/>
      <c r="J18" s="120"/>
      <c r="K18" s="120"/>
      <c r="L18" s="120"/>
      <c r="M18" s="120"/>
      <c r="N18" s="120"/>
      <c r="O18" s="120"/>
      <c r="P18" s="120"/>
      <c r="Q18" s="120"/>
      <c r="R18" s="119">
        <f t="shared" si="1"/>
        <v>6</v>
      </c>
      <c r="U18" s="111" t="s">
        <v>78</v>
      </c>
      <c r="V18" s="114">
        <v>5</v>
      </c>
      <c r="W18" s="113">
        <v>5</v>
      </c>
      <c r="X18" s="113"/>
      <c r="Y18" s="113"/>
      <c r="Z18" s="113"/>
      <c r="AA18" s="113"/>
      <c r="AB18" s="113"/>
      <c r="AC18" s="113"/>
      <c r="AD18" s="113"/>
      <c r="AE18" s="113"/>
      <c r="AF18" s="113">
        <v>2</v>
      </c>
      <c r="AG18" s="112">
        <v>4</v>
      </c>
      <c r="AH18" s="111">
        <f t="shared" si="2"/>
        <v>16</v>
      </c>
      <c r="AN18" s="118" t="s">
        <v>40</v>
      </c>
      <c r="AO18" s="115">
        <f t="shared" si="0"/>
        <v>22</v>
      </c>
    </row>
    <row r="19" spans="2:41" x14ac:dyDescent="0.2">
      <c r="B19" s="118" t="s">
        <v>36</v>
      </c>
      <c r="C19" s="117"/>
      <c r="D19" s="117"/>
      <c r="E19" s="117"/>
      <c r="F19" s="116">
        <v>9</v>
      </c>
      <c r="G19" s="116">
        <v>3</v>
      </c>
      <c r="I19" s="116"/>
      <c r="J19" s="116"/>
      <c r="K19" s="116"/>
      <c r="L19" s="116"/>
      <c r="M19" s="116"/>
      <c r="N19" s="116"/>
      <c r="O19" s="116"/>
      <c r="P19" s="116"/>
      <c r="Q19" s="116"/>
      <c r="R19" s="115">
        <f t="shared" si="1"/>
        <v>12</v>
      </c>
      <c r="U19" s="111" t="s">
        <v>80</v>
      </c>
      <c r="V19" s="114"/>
      <c r="W19" s="113"/>
      <c r="X19" s="113"/>
      <c r="Y19" s="113"/>
      <c r="Z19" s="113"/>
      <c r="AA19" s="113"/>
      <c r="AB19" s="113"/>
      <c r="AC19" s="113"/>
      <c r="AD19" s="113"/>
      <c r="AE19" s="113"/>
      <c r="AF19" s="113"/>
      <c r="AG19" s="112"/>
      <c r="AH19" s="111">
        <f t="shared" si="2"/>
        <v>0</v>
      </c>
      <c r="AN19" s="118" t="s">
        <v>36</v>
      </c>
      <c r="AO19" s="115">
        <f t="shared" si="0"/>
        <v>0</v>
      </c>
    </row>
    <row r="20" spans="2:41" x14ac:dyDescent="0.2">
      <c r="B20" s="121" t="s">
        <v>35</v>
      </c>
      <c r="F20" s="120">
        <v>9</v>
      </c>
      <c r="G20" s="120">
        <v>2</v>
      </c>
      <c r="I20" s="120"/>
      <c r="J20" s="120"/>
      <c r="K20" s="120"/>
      <c r="L20" s="120"/>
      <c r="M20" s="120"/>
      <c r="N20" s="120"/>
      <c r="O20" s="120"/>
      <c r="P20" s="120"/>
      <c r="Q20" s="120"/>
      <c r="R20" s="119">
        <f t="shared" si="1"/>
        <v>11</v>
      </c>
      <c r="U20" s="111" t="s">
        <v>75</v>
      </c>
      <c r="V20" s="114"/>
      <c r="W20" s="113"/>
      <c r="X20" s="113"/>
      <c r="Y20" s="113"/>
      <c r="Z20" s="113"/>
      <c r="AA20" s="113"/>
      <c r="AB20" s="113"/>
      <c r="AC20" s="113"/>
      <c r="AD20" s="113"/>
      <c r="AE20" s="113"/>
      <c r="AF20" s="113"/>
      <c r="AG20" s="112"/>
      <c r="AH20" s="111">
        <f t="shared" si="2"/>
        <v>0</v>
      </c>
      <c r="AN20" s="121" t="s">
        <v>35</v>
      </c>
      <c r="AO20" s="119">
        <f t="shared" si="0"/>
        <v>0</v>
      </c>
    </row>
    <row r="21" spans="2:41" x14ac:dyDescent="0.2">
      <c r="B21" s="118" t="s">
        <v>34</v>
      </c>
      <c r="C21" s="117"/>
      <c r="D21" s="117"/>
      <c r="E21" s="117"/>
      <c r="F21" s="116">
        <v>8</v>
      </c>
      <c r="G21" s="116">
        <v>3</v>
      </c>
      <c r="I21" s="116"/>
      <c r="J21" s="116"/>
      <c r="K21" s="116"/>
      <c r="L21" s="116"/>
      <c r="M21" s="116"/>
      <c r="N21" s="116"/>
      <c r="O21" s="116"/>
      <c r="P21" s="116"/>
      <c r="Q21" s="116"/>
      <c r="R21" s="115">
        <f t="shared" si="1"/>
        <v>11</v>
      </c>
      <c r="U21" s="111" t="s">
        <v>74</v>
      </c>
      <c r="V21" s="114"/>
      <c r="W21" s="113"/>
      <c r="X21" s="113"/>
      <c r="Y21" s="113"/>
      <c r="Z21" s="113"/>
      <c r="AA21" s="113"/>
      <c r="AB21" s="113"/>
      <c r="AC21" s="113"/>
      <c r="AD21" s="113"/>
      <c r="AE21" s="113"/>
      <c r="AF21" s="113"/>
      <c r="AG21" s="112"/>
      <c r="AH21" s="111">
        <f t="shared" si="2"/>
        <v>0</v>
      </c>
      <c r="AN21" s="121" t="s">
        <v>33</v>
      </c>
      <c r="AO21" s="119">
        <f t="shared" si="0"/>
        <v>0</v>
      </c>
    </row>
    <row r="22" spans="2:41" ht="15" x14ac:dyDescent="0.2">
      <c r="B22" s="121" t="s">
        <v>33</v>
      </c>
      <c r="F22" s="120">
        <v>5</v>
      </c>
      <c r="G22" s="120"/>
      <c r="I22" s="120"/>
      <c r="J22" s="120"/>
      <c r="K22" s="120"/>
      <c r="L22" s="120"/>
      <c r="M22" s="120"/>
      <c r="N22" s="120"/>
      <c r="O22" s="120"/>
      <c r="P22" s="120"/>
      <c r="Q22" s="120"/>
      <c r="R22" s="119">
        <f t="shared" si="1"/>
        <v>5</v>
      </c>
      <c r="U22" s="122" t="s">
        <v>70</v>
      </c>
      <c r="V22" s="114"/>
      <c r="W22" s="113"/>
      <c r="X22" s="113"/>
      <c r="Y22" s="113"/>
      <c r="Z22" s="113"/>
      <c r="AA22" s="113"/>
      <c r="AB22" s="113"/>
      <c r="AC22" s="113"/>
      <c r="AD22" s="113"/>
      <c r="AE22" s="113"/>
      <c r="AF22" s="113">
        <v>4</v>
      </c>
      <c r="AG22" s="112"/>
      <c r="AH22" s="111">
        <f t="shared" si="2"/>
        <v>4</v>
      </c>
      <c r="AN22" s="118" t="s">
        <v>32</v>
      </c>
      <c r="AO22" s="115">
        <f t="shared" si="0"/>
        <v>8</v>
      </c>
    </row>
    <row r="23" spans="2:41" x14ac:dyDescent="0.2">
      <c r="B23" s="118" t="s">
        <v>32</v>
      </c>
      <c r="C23" s="117"/>
      <c r="D23" s="117"/>
      <c r="E23" s="117"/>
      <c r="F23" s="116">
        <v>7</v>
      </c>
      <c r="G23" s="116">
        <v>1</v>
      </c>
      <c r="I23" s="116"/>
      <c r="J23" s="116"/>
      <c r="K23" s="116"/>
      <c r="L23" s="116"/>
      <c r="M23" s="116"/>
      <c r="N23" s="116"/>
      <c r="O23" s="116"/>
      <c r="P23" s="116"/>
      <c r="Q23" s="116"/>
      <c r="R23" s="115">
        <f t="shared" si="1"/>
        <v>8</v>
      </c>
      <c r="U23" s="111" t="s">
        <v>140</v>
      </c>
      <c r="V23" s="114"/>
      <c r="W23" s="113"/>
      <c r="X23" s="113"/>
      <c r="Y23" s="113"/>
      <c r="Z23" s="113"/>
      <c r="AA23" s="113"/>
      <c r="AB23" s="113"/>
      <c r="AC23" s="113"/>
      <c r="AD23" s="113"/>
      <c r="AE23" s="113"/>
      <c r="AF23" s="113"/>
      <c r="AG23" s="112"/>
      <c r="AH23" s="111">
        <f t="shared" si="2"/>
        <v>0</v>
      </c>
      <c r="AN23" s="121" t="s">
        <v>31</v>
      </c>
      <c r="AO23" s="119">
        <f t="shared" si="0"/>
        <v>0</v>
      </c>
    </row>
    <row r="24" spans="2:41" x14ac:dyDescent="0.2">
      <c r="B24" s="121" t="s">
        <v>31</v>
      </c>
      <c r="F24" s="120">
        <v>5</v>
      </c>
      <c r="G24" s="120"/>
      <c r="I24" s="120"/>
      <c r="J24" s="120"/>
      <c r="K24" s="120"/>
      <c r="L24" s="120"/>
      <c r="M24" s="120"/>
      <c r="N24" s="120"/>
      <c r="O24" s="120"/>
      <c r="P24" s="120"/>
      <c r="Q24" s="120"/>
      <c r="R24" s="119">
        <f t="shared" si="1"/>
        <v>5</v>
      </c>
      <c r="U24" s="111" t="s">
        <v>142</v>
      </c>
      <c r="V24" s="114">
        <v>4</v>
      </c>
      <c r="W24" s="113">
        <v>3</v>
      </c>
      <c r="X24" s="113"/>
      <c r="Y24" s="113"/>
      <c r="Z24" s="113"/>
      <c r="AA24" s="113"/>
      <c r="AB24" s="113"/>
      <c r="AC24" s="113"/>
      <c r="AD24" s="113"/>
      <c r="AE24" s="113"/>
      <c r="AF24" s="113">
        <v>2</v>
      </c>
      <c r="AG24" s="112"/>
      <c r="AH24" s="111">
        <f t="shared" si="2"/>
        <v>9</v>
      </c>
      <c r="AN24" s="121" t="s">
        <v>29</v>
      </c>
      <c r="AO24" s="119">
        <f t="shared" si="0"/>
        <v>11</v>
      </c>
    </row>
    <row r="25" spans="2:41" x14ac:dyDescent="0.2">
      <c r="B25" s="118" t="s">
        <v>30</v>
      </c>
      <c r="C25" s="117"/>
      <c r="D25" s="117"/>
      <c r="E25" s="117"/>
      <c r="F25" s="116">
        <v>1</v>
      </c>
      <c r="G25" s="116">
        <v>2</v>
      </c>
      <c r="H25" s="116"/>
      <c r="I25" s="116"/>
      <c r="J25" s="116"/>
      <c r="K25" s="116"/>
      <c r="L25" s="116"/>
      <c r="M25" s="116"/>
      <c r="N25" s="116"/>
      <c r="O25" s="116"/>
      <c r="P25" s="116"/>
      <c r="Q25" s="116"/>
      <c r="R25" s="115">
        <f t="shared" si="1"/>
        <v>3</v>
      </c>
      <c r="U25" s="111"/>
      <c r="V25" s="114"/>
      <c r="W25" s="113"/>
      <c r="X25" s="113"/>
      <c r="Y25" s="113"/>
      <c r="Z25" s="113"/>
      <c r="AA25" s="113"/>
      <c r="AB25" s="113"/>
      <c r="AC25" s="113"/>
      <c r="AD25" s="113"/>
      <c r="AE25" s="113"/>
      <c r="AF25" s="113"/>
      <c r="AG25" s="112"/>
      <c r="AH25" s="111">
        <f t="shared" si="2"/>
        <v>0</v>
      </c>
      <c r="AN25" s="121" t="s">
        <v>27</v>
      </c>
      <c r="AO25" s="119">
        <f t="shared" si="0"/>
        <v>0</v>
      </c>
    </row>
    <row r="26" spans="2:41" x14ac:dyDescent="0.2">
      <c r="B26" s="121" t="s">
        <v>29</v>
      </c>
      <c r="F26" s="120"/>
      <c r="G26" s="120"/>
      <c r="H26" s="120"/>
      <c r="I26" s="120"/>
      <c r="J26" s="120"/>
      <c r="K26" s="120"/>
      <c r="L26" s="120"/>
      <c r="M26" s="120"/>
      <c r="N26" s="120"/>
      <c r="O26" s="120"/>
      <c r="P26" s="120"/>
      <c r="Q26" s="120"/>
      <c r="R26" s="119">
        <f t="shared" si="1"/>
        <v>0</v>
      </c>
      <c r="U26" s="111"/>
      <c r="V26" s="114"/>
      <c r="W26" s="113"/>
      <c r="X26" s="113"/>
      <c r="Y26" s="113"/>
      <c r="Z26" s="113"/>
      <c r="AA26" s="113"/>
      <c r="AB26" s="113"/>
      <c r="AC26" s="113"/>
      <c r="AD26" s="113"/>
      <c r="AE26" s="113"/>
      <c r="AF26" s="113"/>
      <c r="AG26" s="112"/>
      <c r="AH26" s="111">
        <f t="shared" si="2"/>
        <v>0</v>
      </c>
      <c r="AN26" s="118" t="s">
        <v>26</v>
      </c>
      <c r="AO26" s="115">
        <f t="shared" si="0"/>
        <v>0</v>
      </c>
    </row>
    <row r="27" spans="2:41" x14ac:dyDescent="0.2">
      <c r="B27" s="118" t="s">
        <v>28</v>
      </c>
      <c r="C27" s="117"/>
      <c r="D27" s="117"/>
      <c r="E27" s="117"/>
      <c r="F27" s="116">
        <v>1</v>
      </c>
      <c r="G27" s="116">
        <v>2</v>
      </c>
      <c r="H27" s="116"/>
      <c r="I27" s="116"/>
      <c r="J27" s="116"/>
      <c r="K27" s="116"/>
      <c r="L27" s="116"/>
      <c r="M27" s="116"/>
      <c r="N27" s="116"/>
      <c r="O27" s="116"/>
      <c r="P27" s="116"/>
      <c r="Q27" s="116"/>
      <c r="R27" s="115">
        <f t="shared" si="1"/>
        <v>3</v>
      </c>
      <c r="U27" s="111"/>
      <c r="V27" s="114"/>
      <c r="W27" s="113"/>
      <c r="X27" s="113"/>
      <c r="Y27" s="113"/>
      <c r="Z27" s="113"/>
      <c r="AA27" s="113"/>
      <c r="AB27" s="113"/>
      <c r="AC27" s="113"/>
      <c r="AD27" s="113"/>
      <c r="AE27" s="113"/>
      <c r="AF27" s="113"/>
      <c r="AG27" s="112"/>
      <c r="AH27" s="111">
        <f t="shared" si="2"/>
        <v>0</v>
      </c>
      <c r="AN27" s="121" t="s">
        <v>25</v>
      </c>
      <c r="AO27" s="119">
        <f t="shared" si="0"/>
        <v>0</v>
      </c>
    </row>
    <row r="28" spans="2:41" x14ac:dyDescent="0.2">
      <c r="B28" s="121" t="s">
        <v>27</v>
      </c>
      <c r="F28" s="120"/>
      <c r="G28" s="120">
        <v>1</v>
      </c>
      <c r="H28" s="120"/>
      <c r="I28" s="120"/>
      <c r="J28" s="120"/>
      <c r="K28" s="120"/>
      <c r="L28" s="120"/>
      <c r="M28" s="120"/>
      <c r="N28" s="120"/>
      <c r="O28" s="120"/>
      <c r="P28" s="120"/>
      <c r="Q28" s="120"/>
      <c r="R28" s="119">
        <f t="shared" si="1"/>
        <v>1</v>
      </c>
      <c r="U28" s="111"/>
      <c r="V28" s="114"/>
      <c r="W28" s="113"/>
      <c r="X28" s="113"/>
      <c r="Y28" s="113"/>
      <c r="Z28" s="113"/>
      <c r="AA28" s="113"/>
      <c r="AB28" s="113"/>
      <c r="AC28" s="113"/>
      <c r="AD28" s="113"/>
      <c r="AE28" s="113"/>
      <c r="AF28" s="113"/>
      <c r="AG28" s="112"/>
      <c r="AH28" s="111">
        <f t="shared" si="2"/>
        <v>0</v>
      </c>
      <c r="AN28" s="118" t="s">
        <v>24</v>
      </c>
      <c r="AO28" s="115">
        <f t="shared" si="0"/>
        <v>0</v>
      </c>
    </row>
    <row r="29" spans="2:41" x14ac:dyDescent="0.2">
      <c r="B29" s="118" t="s">
        <v>26</v>
      </c>
      <c r="C29" s="117"/>
      <c r="D29" s="117"/>
      <c r="E29" s="117"/>
      <c r="F29" s="116">
        <v>1</v>
      </c>
      <c r="G29" s="116">
        <v>5</v>
      </c>
      <c r="H29" s="116"/>
      <c r="I29" s="116"/>
      <c r="J29" s="116"/>
      <c r="K29" s="116"/>
      <c r="L29" s="116"/>
      <c r="M29" s="116"/>
      <c r="N29" s="116"/>
      <c r="O29" s="116"/>
      <c r="P29" s="116"/>
      <c r="Q29" s="116"/>
      <c r="R29" s="115">
        <f t="shared" si="1"/>
        <v>6</v>
      </c>
      <c r="U29" s="111"/>
      <c r="V29" s="114"/>
      <c r="W29" s="113"/>
      <c r="X29" s="113"/>
      <c r="Y29" s="113"/>
      <c r="Z29" s="113"/>
      <c r="AA29" s="113"/>
      <c r="AB29" s="113"/>
      <c r="AC29" s="113"/>
      <c r="AD29" s="113"/>
      <c r="AE29" s="113"/>
      <c r="AF29" s="113"/>
      <c r="AG29" s="112"/>
      <c r="AH29" s="111">
        <f t="shared" si="2"/>
        <v>0</v>
      </c>
      <c r="AN29" s="121" t="s">
        <v>23</v>
      </c>
      <c r="AO29" s="119">
        <f t="shared" si="0"/>
        <v>0</v>
      </c>
    </row>
    <row r="30" spans="2:41" x14ac:dyDescent="0.2">
      <c r="B30" s="121" t="s">
        <v>25</v>
      </c>
      <c r="F30" s="120">
        <v>2</v>
      </c>
      <c r="G30" s="120">
        <v>6</v>
      </c>
      <c r="H30" s="120"/>
      <c r="I30" s="120"/>
      <c r="J30" s="120"/>
      <c r="K30" s="120"/>
      <c r="L30" s="120"/>
      <c r="M30" s="120"/>
      <c r="N30" s="120"/>
      <c r="O30" s="120"/>
      <c r="P30" s="120"/>
      <c r="Q30" s="120"/>
      <c r="R30" s="119">
        <f t="shared" si="1"/>
        <v>8</v>
      </c>
      <c r="U30" s="111"/>
      <c r="V30" s="114"/>
      <c r="W30" s="113"/>
      <c r="X30" s="113"/>
      <c r="Y30" s="113"/>
      <c r="Z30" s="113"/>
      <c r="AA30" s="113"/>
      <c r="AB30" s="113"/>
      <c r="AC30" s="113"/>
      <c r="AD30" s="113"/>
      <c r="AE30" s="113"/>
      <c r="AF30" s="113"/>
      <c r="AG30" s="112"/>
      <c r="AH30" s="111">
        <f t="shared" si="2"/>
        <v>0</v>
      </c>
      <c r="AN30" s="118" t="s">
        <v>22</v>
      </c>
      <c r="AO30" s="115">
        <f t="shared" si="0"/>
        <v>0</v>
      </c>
    </row>
    <row r="31" spans="2:41" x14ac:dyDescent="0.2">
      <c r="B31" s="118" t="s">
        <v>24</v>
      </c>
      <c r="C31" s="117"/>
      <c r="D31" s="117"/>
      <c r="E31" s="117"/>
      <c r="F31" s="116">
        <v>8</v>
      </c>
      <c r="G31" s="116">
        <v>4</v>
      </c>
      <c r="H31" s="116"/>
      <c r="I31" s="116"/>
      <c r="J31" s="116"/>
      <c r="K31" s="116"/>
      <c r="L31" s="116"/>
      <c r="M31" s="116"/>
      <c r="N31" s="116"/>
      <c r="O31" s="116"/>
      <c r="P31" s="116"/>
      <c r="Q31" s="116"/>
      <c r="R31" s="115">
        <f t="shared" si="1"/>
        <v>12</v>
      </c>
      <c r="U31" s="111"/>
      <c r="V31" s="114"/>
      <c r="W31" s="113"/>
      <c r="X31" s="113"/>
      <c r="Y31" s="113"/>
      <c r="Z31" s="113"/>
      <c r="AA31" s="113"/>
      <c r="AB31" s="113"/>
      <c r="AC31" s="113"/>
      <c r="AD31" s="113"/>
      <c r="AE31" s="113"/>
      <c r="AF31" s="113"/>
      <c r="AG31" s="112"/>
      <c r="AH31" s="111">
        <f t="shared" si="2"/>
        <v>0</v>
      </c>
    </row>
    <row r="32" spans="2:41" x14ac:dyDescent="0.2">
      <c r="B32" s="121" t="s">
        <v>23</v>
      </c>
      <c r="F32" s="120">
        <v>14</v>
      </c>
      <c r="G32" s="120">
        <v>11</v>
      </c>
      <c r="H32" s="120"/>
      <c r="I32" s="120"/>
      <c r="J32" s="120"/>
      <c r="K32" s="120"/>
      <c r="L32" s="120"/>
      <c r="M32" s="120"/>
      <c r="N32" s="120"/>
      <c r="O32" s="120"/>
      <c r="P32" s="120"/>
      <c r="Q32" s="120"/>
      <c r="R32" s="119">
        <f t="shared" si="1"/>
        <v>25</v>
      </c>
      <c r="U32" s="111"/>
      <c r="V32" s="114"/>
      <c r="W32" s="113"/>
      <c r="X32" s="113"/>
      <c r="Y32" s="113"/>
      <c r="Z32" s="113"/>
      <c r="AA32" s="113"/>
      <c r="AB32" s="113"/>
      <c r="AC32" s="113"/>
      <c r="AD32" s="113"/>
      <c r="AE32" s="113"/>
      <c r="AF32" s="113"/>
      <c r="AG32" s="112"/>
      <c r="AH32" s="111">
        <f t="shared" si="2"/>
        <v>0</v>
      </c>
    </row>
    <row r="33" spans="2:36" ht="13.5" thickBot="1" x14ac:dyDescent="0.25">
      <c r="B33" s="118" t="s">
        <v>22</v>
      </c>
      <c r="C33" s="117"/>
      <c r="D33" s="117"/>
      <c r="E33" s="117"/>
      <c r="F33" s="116">
        <v>2</v>
      </c>
      <c r="G33" s="116">
        <v>1</v>
      </c>
      <c r="H33" s="116"/>
      <c r="I33" s="116"/>
      <c r="J33" s="116"/>
      <c r="K33" s="116"/>
      <c r="L33" s="116"/>
      <c r="M33" s="116"/>
      <c r="N33" s="116"/>
      <c r="O33" s="116"/>
      <c r="P33" s="116"/>
      <c r="Q33" s="116"/>
      <c r="R33" s="115">
        <f t="shared" si="1"/>
        <v>3</v>
      </c>
      <c r="U33" s="111"/>
      <c r="V33" s="114"/>
      <c r="W33" s="113"/>
      <c r="X33" s="113"/>
      <c r="Y33" s="113"/>
      <c r="Z33" s="113"/>
      <c r="AA33" s="113"/>
      <c r="AB33" s="113"/>
      <c r="AC33" s="113"/>
      <c r="AD33" s="113"/>
      <c r="AE33" s="113"/>
      <c r="AF33" s="113"/>
      <c r="AG33" s="112"/>
      <c r="AH33" s="110">
        <f t="shared" si="2"/>
        <v>0</v>
      </c>
    </row>
    <row r="34" spans="2:36" x14ac:dyDescent="0.2">
      <c r="B34" s="108"/>
      <c r="R34" s="109"/>
      <c r="U34" s="111"/>
      <c r="AH34" s="109"/>
    </row>
    <row r="35" spans="2:36" ht="13.5" thickBot="1" x14ac:dyDescent="0.25">
      <c r="B35" s="108"/>
      <c r="R35" s="109"/>
      <c r="U35" s="110"/>
      <c r="V35" s="98">
        <f t="shared" ref="V35:AG35" si="3">COUNTA(V5:V33)</f>
        <v>8</v>
      </c>
      <c r="W35" s="98">
        <f t="shared" si="3"/>
        <v>7</v>
      </c>
      <c r="X35" s="98">
        <f t="shared" si="3"/>
        <v>1</v>
      </c>
      <c r="Y35" s="98">
        <f t="shared" si="3"/>
        <v>0</v>
      </c>
      <c r="Z35" s="98">
        <f t="shared" si="3"/>
        <v>0</v>
      </c>
      <c r="AA35" s="98">
        <f t="shared" si="3"/>
        <v>0</v>
      </c>
      <c r="AB35" s="98">
        <f t="shared" si="3"/>
        <v>0</v>
      </c>
      <c r="AC35" s="98">
        <f t="shared" si="3"/>
        <v>0</v>
      </c>
      <c r="AD35" s="98">
        <f t="shared" si="3"/>
        <v>0</v>
      </c>
      <c r="AE35" s="98">
        <f t="shared" si="3"/>
        <v>0</v>
      </c>
      <c r="AF35" s="98">
        <f t="shared" si="3"/>
        <v>9</v>
      </c>
      <c r="AG35" s="98">
        <f t="shared" si="3"/>
        <v>5</v>
      </c>
      <c r="AH35" s="109"/>
    </row>
    <row r="36" spans="2:36" x14ac:dyDescent="0.2">
      <c r="B36" s="108"/>
      <c r="E36" s="107"/>
      <c r="F36" s="106"/>
      <c r="G36" s="106"/>
      <c r="H36" s="106"/>
      <c r="I36" s="106"/>
      <c r="J36" s="106"/>
      <c r="K36" s="106"/>
      <c r="L36" s="106"/>
      <c r="M36" s="106"/>
      <c r="N36" s="106"/>
      <c r="O36" s="106"/>
      <c r="P36" s="106"/>
      <c r="Q36" s="106"/>
      <c r="R36" s="105" t="s">
        <v>21</v>
      </c>
      <c r="U36" s="107"/>
      <c r="V36" s="106">
        <v>144</v>
      </c>
      <c r="W36" s="106">
        <v>144</v>
      </c>
      <c r="X36" s="106">
        <v>144</v>
      </c>
      <c r="Y36" s="106">
        <v>144</v>
      </c>
      <c r="Z36" s="106">
        <v>144</v>
      </c>
      <c r="AA36" s="106">
        <v>144</v>
      </c>
      <c r="AB36" s="106">
        <v>144</v>
      </c>
      <c r="AC36" s="106">
        <v>144</v>
      </c>
      <c r="AD36" s="106">
        <v>144</v>
      </c>
      <c r="AE36" s="106">
        <v>144</v>
      </c>
      <c r="AF36" s="106">
        <v>144</v>
      </c>
      <c r="AG36" s="106">
        <v>144</v>
      </c>
      <c r="AH36" s="105" t="s">
        <v>21</v>
      </c>
    </row>
    <row r="37" spans="2:36" ht="13.5" thickBot="1" x14ac:dyDescent="0.25">
      <c r="B37" s="102"/>
      <c r="C37" s="101"/>
      <c r="D37" s="101"/>
      <c r="E37" s="102" t="s">
        <v>20</v>
      </c>
      <c r="F37" s="104">
        <f t="shared" ref="F37:R37" si="4">SUM(F5:F33)</f>
        <v>115</v>
      </c>
      <c r="G37" s="104">
        <f t="shared" si="4"/>
        <v>75</v>
      </c>
      <c r="H37" s="104">
        <f t="shared" si="4"/>
        <v>0</v>
      </c>
      <c r="I37" s="104">
        <f t="shared" si="4"/>
        <v>0</v>
      </c>
      <c r="J37" s="104">
        <f t="shared" si="4"/>
        <v>0</v>
      </c>
      <c r="K37" s="104">
        <f t="shared" si="4"/>
        <v>0</v>
      </c>
      <c r="L37" s="104">
        <f t="shared" si="4"/>
        <v>0</v>
      </c>
      <c r="M37" s="104">
        <f t="shared" si="4"/>
        <v>0</v>
      </c>
      <c r="N37" s="104">
        <f t="shared" si="4"/>
        <v>0</v>
      </c>
      <c r="O37" s="104">
        <f t="shared" si="4"/>
        <v>0</v>
      </c>
      <c r="P37" s="104">
        <f t="shared" si="4"/>
        <v>0</v>
      </c>
      <c r="Q37" s="104">
        <f t="shared" si="4"/>
        <v>0</v>
      </c>
      <c r="R37" s="103">
        <f t="shared" si="4"/>
        <v>190</v>
      </c>
      <c r="U37" s="102" t="s">
        <v>19</v>
      </c>
      <c r="V37" s="101">
        <f t="shared" ref="V37:AG37" si="5">SUM(V5:V33)</f>
        <v>35</v>
      </c>
      <c r="W37" s="101">
        <f t="shared" si="5"/>
        <v>31</v>
      </c>
      <c r="X37" s="101">
        <f t="shared" si="5"/>
        <v>1</v>
      </c>
      <c r="Y37" s="101">
        <f t="shared" si="5"/>
        <v>0</v>
      </c>
      <c r="Z37" s="101">
        <f t="shared" si="5"/>
        <v>0</v>
      </c>
      <c r="AA37" s="101">
        <f t="shared" si="5"/>
        <v>0</v>
      </c>
      <c r="AB37" s="101">
        <f t="shared" si="5"/>
        <v>0</v>
      </c>
      <c r="AC37" s="101">
        <f t="shared" si="5"/>
        <v>0</v>
      </c>
      <c r="AD37" s="101">
        <f t="shared" si="5"/>
        <v>0</v>
      </c>
      <c r="AE37" s="101">
        <f t="shared" si="5"/>
        <v>0</v>
      </c>
      <c r="AF37" s="101">
        <f t="shared" si="5"/>
        <v>28</v>
      </c>
      <c r="AG37" s="101">
        <f t="shared" si="5"/>
        <v>14</v>
      </c>
      <c r="AH37" s="100">
        <f>SUM(AH5:AH34)</f>
        <v>109</v>
      </c>
    </row>
    <row r="38" spans="2:36" x14ac:dyDescent="0.2">
      <c r="V38" s="99">
        <f>V37/$V36</f>
        <v>0.24305555555555555</v>
      </c>
      <c r="W38" s="99">
        <f t="shared" ref="W38:AG38" si="6">W37/$V36</f>
        <v>0.21527777777777779</v>
      </c>
      <c r="X38" s="99">
        <f t="shared" si="6"/>
        <v>6.9444444444444441E-3</v>
      </c>
      <c r="Y38" s="99">
        <f t="shared" si="6"/>
        <v>0</v>
      </c>
      <c r="Z38" s="99">
        <f t="shared" si="6"/>
        <v>0</v>
      </c>
      <c r="AA38" s="99">
        <f t="shared" si="6"/>
        <v>0</v>
      </c>
      <c r="AB38" s="99">
        <f t="shared" si="6"/>
        <v>0</v>
      </c>
      <c r="AC38" s="99">
        <f t="shared" si="6"/>
        <v>0</v>
      </c>
      <c r="AD38" s="99">
        <f t="shared" si="6"/>
        <v>0</v>
      </c>
      <c r="AE38" s="99">
        <f t="shared" si="6"/>
        <v>0</v>
      </c>
      <c r="AF38" s="99">
        <f>AF35/$V1</f>
        <v>0.45</v>
      </c>
      <c r="AG38" s="99">
        <f t="shared" si="6"/>
        <v>9.7222222222222224E-2</v>
      </c>
      <c r="AI38" s="99">
        <f>AVERAGE(V38:Y38)</f>
        <v>0.11631944444444445</v>
      </c>
      <c r="AJ38" s="98" t="s">
        <v>18</v>
      </c>
    </row>
    <row r="39" spans="2:36" x14ac:dyDescent="0.2">
      <c r="V39" s="99">
        <v>1</v>
      </c>
      <c r="W39" s="99">
        <v>1</v>
      </c>
      <c r="X39" s="99">
        <v>1</v>
      </c>
      <c r="Y39" s="99">
        <v>1</v>
      </c>
      <c r="Z39" s="99">
        <v>1</v>
      </c>
      <c r="AA39" s="99">
        <v>1</v>
      </c>
      <c r="AB39" s="99">
        <v>1</v>
      </c>
      <c r="AC39" s="99">
        <v>1</v>
      </c>
      <c r="AD39" s="99">
        <v>1</v>
      </c>
      <c r="AE39" s="99">
        <v>1</v>
      </c>
      <c r="AF39" s="99">
        <v>1</v>
      </c>
      <c r="AG39" s="99">
        <v>1</v>
      </c>
    </row>
  </sheetData>
  <sheetProtection selectLockedCells="1"/>
  <sortState xmlns:xlrd2="http://schemas.microsoft.com/office/spreadsheetml/2017/richdata2" ref="AN3:AO30">
    <sortCondition descending="1" ref="AO2:AO30"/>
  </sortState>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AE2C5-27C3-4C59-A5CC-DDFBB3BB312E}">
  <dimension ref="A6:AL81"/>
  <sheetViews>
    <sheetView zoomScaleNormal="100" workbookViewId="0">
      <selection activeCell="I80" sqref="I80"/>
    </sheetView>
  </sheetViews>
  <sheetFormatPr defaultColWidth="9.140625" defaultRowHeight="12.75" x14ac:dyDescent="0.2"/>
  <cols>
    <col min="1" max="1" width="12.42578125" style="98" bestFit="1" customWidth="1"/>
    <col min="2" max="2" width="12.5703125" style="98" bestFit="1" customWidth="1"/>
    <col min="3" max="3" width="8.42578125" style="98" bestFit="1" customWidth="1"/>
    <col min="4" max="4" width="17.42578125" style="98" bestFit="1" customWidth="1"/>
    <col min="5" max="5" width="15.7109375" style="98" bestFit="1" customWidth="1"/>
    <col min="6" max="6" width="10" style="98" bestFit="1" customWidth="1"/>
    <col min="7" max="7" width="19" style="98" bestFit="1" customWidth="1"/>
    <col min="8" max="8" width="19" style="98" customWidth="1"/>
    <col min="9" max="9" width="22.42578125" style="98" bestFit="1" customWidth="1"/>
    <col min="10" max="10" width="4.5703125" style="98" bestFit="1" customWidth="1"/>
    <col min="11" max="11" width="34.85546875" style="98" bestFit="1" customWidth="1"/>
    <col min="12" max="12" width="20.42578125" style="98" customWidth="1"/>
    <col min="13" max="13" width="18.5703125" style="98" bestFit="1" customWidth="1"/>
    <col min="14" max="14" width="18.5703125" style="98" customWidth="1"/>
    <col min="15" max="15" width="11.42578125" style="98" bestFit="1" customWidth="1"/>
    <col min="16" max="16" width="5.28515625" style="98" bestFit="1" customWidth="1"/>
    <col min="17" max="16384" width="9.140625" style="98"/>
  </cols>
  <sheetData>
    <row r="6" spans="2:25" ht="13.5" thickBot="1" x14ac:dyDescent="0.25">
      <c r="E6" s="462"/>
      <c r="J6" s="221"/>
      <c r="K6" s="221"/>
      <c r="M6" s="220"/>
      <c r="N6" s="220"/>
      <c r="O6" s="220"/>
      <c r="P6" s="220"/>
      <c r="Q6" s="220"/>
      <c r="R6" s="220"/>
      <c r="S6" s="220"/>
      <c r="T6" s="220"/>
    </row>
    <row r="7" spans="2:25" ht="26.25" thickBot="1" x14ac:dyDescent="0.25">
      <c r="B7" s="730" t="s">
        <v>343</v>
      </c>
      <c r="C7" s="475" t="s">
        <v>146</v>
      </c>
      <c r="D7" s="474" t="s">
        <v>249</v>
      </c>
      <c r="E7" s="611" t="s">
        <v>239</v>
      </c>
      <c r="F7" s="611" t="s">
        <v>145</v>
      </c>
      <c r="G7" s="474" t="s">
        <v>250</v>
      </c>
      <c r="H7" s="474" t="s">
        <v>377</v>
      </c>
      <c r="I7" s="611" t="s">
        <v>313</v>
      </c>
      <c r="J7" s="611" t="s">
        <v>221</v>
      </c>
      <c r="K7" s="611" t="s">
        <v>251</v>
      </c>
      <c r="L7" s="763" t="s">
        <v>374</v>
      </c>
      <c r="M7" s="611" t="s">
        <v>252</v>
      </c>
      <c r="N7" s="611" t="s">
        <v>378</v>
      </c>
      <c r="O7" s="611" t="s">
        <v>253</v>
      </c>
      <c r="P7" s="611" t="s">
        <v>15</v>
      </c>
      <c r="Q7" s="178"/>
      <c r="R7" s="178"/>
      <c r="S7" s="178"/>
      <c r="T7" s="178"/>
    </row>
    <row r="8" spans="2:25" x14ac:dyDescent="0.2">
      <c r="B8" s="756"/>
      <c r="C8" s="755"/>
      <c r="D8" s="757"/>
      <c r="E8" s="757"/>
      <c r="F8" s="757"/>
      <c r="G8" s="757"/>
      <c r="H8" s="757"/>
      <c r="I8" s="757"/>
      <c r="J8" s="755"/>
      <c r="K8" s="755"/>
      <c r="L8" s="755"/>
      <c r="M8" s="755"/>
      <c r="N8" s="755"/>
      <c r="O8" s="755"/>
      <c r="P8" s="755"/>
      <c r="W8" s="220"/>
      <c r="X8" s="220"/>
      <c r="Y8" s="220"/>
    </row>
    <row r="9" spans="2:25" x14ac:dyDescent="0.2">
      <c r="B9" s="477">
        <v>100</v>
      </c>
      <c r="C9" s="489"/>
      <c r="D9" s="488"/>
      <c r="E9" s="488"/>
      <c r="F9" s="479"/>
      <c r="G9" s="479"/>
      <c r="H9" s="479"/>
      <c r="I9" s="479">
        <v>2</v>
      </c>
      <c r="J9" s="478"/>
      <c r="K9" s="478"/>
      <c r="L9" s="487"/>
      <c r="M9" s="113"/>
      <c r="N9" s="113"/>
      <c r="O9" s="113"/>
      <c r="P9" s="113"/>
      <c r="Q9" s="98">
        <f>SUM(C9:P9)</f>
        <v>2</v>
      </c>
      <c r="W9" s="178"/>
      <c r="X9" s="178"/>
      <c r="Y9" s="178"/>
    </row>
    <row r="10" spans="2:25" x14ac:dyDescent="0.2">
      <c r="B10" s="477">
        <v>200</v>
      </c>
      <c r="C10" s="489">
        <v>1</v>
      </c>
      <c r="D10" s="488"/>
      <c r="E10" s="488"/>
      <c r="F10" s="479"/>
      <c r="G10" s="479"/>
      <c r="H10" s="479"/>
      <c r="I10" s="479">
        <v>3</v>
      </c>
      <c r="J10" s="478"/>
      <c r="K10" s="478"/>
      <c r="L10" s="478"/>
      <c r="M10" s="113"/>
      <c r="N10" s="113"/>
      <c r="O10" s="113"/>
      <c r="P10" s="113"/>
      <c r="Q10" s="98">
        <f t="shared" ref="Q10:Q22" si="0">SUM(C10:P10)</f>
        <v>4</v>
      </c>
    </row>
    <row r="11" spans="2:25" ht="13.5" customHeight="1" x14ac:dyDescent="0.2">
      <c r="B11" s="477">
        <v>300</v>
      </c>
      <c r="C11" s="489"/>
      <c r="D11" s="488"/>
      <c r="E11" s="488"/>
      <c r="F11" s="479"/>
      <c r="G11" s="479"/>
      <c r="H11" s="479"/>
      <c r="I11" s="479">
        <v>2</v>
      </c>
      <c r="J11" s="478"/>
      <c r="K11" s="478"/>
      <c r="L11" s="478"/>
      <c r="M11" s="113"/>
      <c r="N11" s="113"/>
      <c r="O11" s="113"/>
      <c r="P11" s="113"/>
      <c r="Q11" s="98">
        <f t="shared" si="0"/>
        <v>2</v>
      </c>
    </row>
    <row r="12" spans="2:25" ht="13.5" customHeight="1" x14ac:dyDescent="0.2">
      <c r="B12" s="477">
        <v>400</v>
      </c>
      <c r="C12" s="489"/>
      <c r="D12" s="488"/>
      <c r="E12" s="488"/>
      <c r="F12" s="479"/>
      <c r="G12" s="479"/>
      <c r="H12" s="479"/>
      <c r="I12" s="479">
        <v>3</v>
      </c>
      <c r="J12" s="478"/>
      <c r="K12" s="478"/>
      <c r="L12" s="478">
        <v>1</v>
      </c>
      <c r="M12" s="113"/>
      <c r="N12" s="113"/>
      <c r="O12" s="113"/>
      <c r="P12" s="113"/>
      <c r="Q12" s="98">
        <f t="shared" si="0"/>
        <v>4</v>
      </c>
    </row>
    <row r="13" spans="2:25" x14ac:dyDescent="0.2">
      <c r="B13" s="477">
        <v>500</v>
      </c>
      <c r="C13" s="489"/>
      <c r="D13" s="488"/>
      <c r="E13" s="479"/>
      <c r="F13" s="479"/>
      <c r="G13" s="479"/>
      <c r="H13" s="479"/>
      <c r="I13" s="479">
        <v>2</v>
      </c>
      <c r="J13" s="478"/>
      <c r="K13" s="478"/>
      <c r="L13" s="478"/>
      <c r="M13" s="113"/>
      <c r="N13" s="113"/>
      <c r="O13" s="113"/>
      <c r="P13" s="113"/>
      <c r="Q13" s="98">
        <f t="shared" si="0"/>
        <v>2</v>
      </c>
    </row>
    <row r="14" spans="2:25" x14ac:dyDescent="0.2">
      <c r="B14" s="477">
        <v>600</v>
      </c>
      <c r="C14" s="489">
        <v>1</v>
      </c>
      <c r="D14" s="488"/>
      <c r="E14" s="488"/>
      <c r="F14" s="479"/>
      <c r="G14" s="479"/>
      <c r="H14" s="479"/>
      <c r="I14" s="479">
        <v>1</v>
      </c>
      <c r="J14" s="478"/>
      <c r="K14" s="478"/>
      <c r="L14" s="478">
        <v>1</v>
      </c>
      <c r="M14" s="113"/>
      <c r="N14" s="113"/>
      <c r="O14" s="113"/>
      <c r="P14" s="113"/>
      <c r="Q14" s="98">
        <f t="shared" si="0"/>
        <v>3</v>
      </c>
    </row>
    <row r="15" spans="2:25" x14ac:dyDescent="0.2">
      <c r="B15" s="477">
        <v>700</v>
      </c>
      <c r="C15" s="489"/>
      <c r="D15" s="488"/>
      <c r="E15" s="488"/>
      <c r="F15" s="479"/>
      <c r="G15" s="479"/>
      <c r="H15" s="479">
        <v>1</v>
      </c>
      <c r="I15" s="479">
        <v>1</v>
      </c>
      <c r="J15" s="478"/>
      <c r="K15" s="478"/>
      <c r="L15" s="478"/>
      <c r="M15" s="113"/>
      <c r="N15" s="113"/>
      <c r="O15" s="113"/>
      <c r="P15" s="113">
        <v>1</v>
      </c>
      <c r="Q15" s="98">
        <f t="shared" si="0"/>
        <v>3</v>
      </c>
    </row>
    <row r="16" spans="2:25" x14ac:dyDescent="0.2">
      <c r="B16" s="477">
        <v>800</v>
      </c>
      <c r="C16" s="489"/>
      <c r="D16" s="488"/>
      <c r="E16" s="488"/>
      <c r="F16" s="479"/>
      <c r="G16" s="479"/>
      <c r="H16" s="479"/>
      <c r="I16" s="479"/>
      <c r="J16" s="478"/>
      <c r="K16" s="478"/>
      <c r="L16" s="478"/>
      <c r="M16" s="113"/>
      <c r="N16" s="113"/>
      <c r="O16" s="113"/>
      <c r="P16" s="113"/>
      <c r="Q16" s="98">
        <f t="shared" si="0"/>
        <v>0</v>
      </c>
    </row>
    <row r="17" spans="1:33" x14ac:dyDescent="0.2">
      <c r="B17" s="477">
        <v>900</v>
      </c>
      <c r="C17" s="114"/>
      <c r="D17" s="488"/>
      <c r="E17" s="478"/>
      <c r="F17" s="478"/>
      <c r="G17" s="478"/>
      <c r="H17" s="478"/>
      <c r="I17" s="478"/>
      <c r="J17" s="478"/>
      <c r="K17" s="478"/>
      <c r="L17" s="478"/>
      <c r="M17" s="113"/>
      <c r="N17" s="113"/>
      <c r="O17" s="113"/>
      <c r="P17" s="113"/>
      <c r="Q17" s="98">
        <f t="shared" si="0"/>
        <v>0</v>
      </c>
    </row>
    <row r="18" spans="1:33" x14ac:dyDescent="0.2">
      <c r="B18" s="477" t="s">
        <v>307</v>
      </c>
      <c r="C18" s="489"/>
      <c r="D18" s="488"/>
      <c r="E18" s="479"/>
      <c r="F18" s="479"/>
      <c r="G18" s="479"/>
      <c r="H18" s="479">
        <v>1</v>
      </c>
      <c r="I18" s="479"/>
      <c r="J18" s="478"/>
      <c r="K18" s="478">
        <v>1</v>
      </c>
      <c r="L18" s="478">
        <v>1</v>
      </c>
      <c r="M18" s="113"/>
      <c r="N18" s="113"/>
      <c r="O18" s="113"/>
      <c r="P18" s="113"/>
      <c r="Q18" s="98">
        <f t="shared" si="0"/>
        <v>3</v>
      </c>
    </row>
    <row r="19" spans="1:33" x14ac:dyDescent="0.2">
      <c r="B19" s="477" t="s">
        <v>310</v>
      </c>
      <c r="C19" s="649"/>
      <c r="D19" s="650"/>
      <c r="E19" s="651"/>
      <c r="F19" s="651"/>
      <c r="G19" s="651"/>
      <c r="H19" s="651"/>
      <c r="I19" s="651"/>
      <c r="J19" s="651"/>
      <c r="K19" s="651"/>
      <c r="L19" s="651"/>
      <c r="M19" s="525"/>
      <c r="N19" s="525"/>
      <c r="O19" s="525"/>
      <c r="P19" s="525"/>
      <c r="Q19" s="98">
        <f t="shared" si="0"/>
        <v>0</v>
      </c>
    </row>
    <row r="20" spans="1:33" x14ac:dyDescent="0.2">
      <c r="B20" s="618" t="s">
        <v>309</v>
      </c>
      <c r="C20" s="649"/>
      <c r="D20" s="650"/>
      <c r="E20" s="651"/>
      <c r="F20" s="651"/>
      <c r="G20" s="651"/>
      <c r="H20" s="651"/>
      <c r="I20" s="651"/>
      <c r="J20" s="651"/>
      <c r="K20" s="651"/>
      <c r="L20" s="651"/>
      <c r="M20" s="525"/>
      <c r="N20" s="525"/>
      <c r="O20" s="525"/>
      <c r="P20" s="525"/>
      <c r="Q20" s="98">
        <f t="shared" si="0"/>
        <v>0</v>
      </c>
    </row>
    <row r="21" spans="1:33" x14ac:dyDescent="0.2">
      <c r="B21" s="477" t="s">
        <v>341</v>
      </c>
      <c r="C21" s="649">
        <v>2</v>
      </c>
      <c r="D21" s="650">
        <v>1</v>
      </c>
      <c r="E21" s="651"/>
      <c r="F21" s="651"/>
      <c r="G21" s="651"/>
      <c r="H21" s="651"/>
      <c r="I21" s="651"/>
      <c r="J21" s="651">
        <v>1</v>
      </c>
      <c r="K21" s="651">
        <v>8</v>
      </c>
      <c r="L21" s="651">
        <v>7</v>
      </c>
      <c r="M21" s="525"/>
      <c r="N21" s="525">
        <v>2</v>
      </c>
      <c r="O21" s="525"/>
      <c r="P21" s="525">
        <v>4</v>
      </c>
      <c r="Q21" s="98">
        <f t="shared" si="0"/>
        <v>25</v>
      </c>
    </row>
    <row r="22" spans="1:33" ht="13.5" thickBot="1" x14ac:dyDescent="0.25">
      <c r="B22" s="620" t="s">
        <v>342</v>
      </c>
      <c r="C22" s="468">
        <v>1</v>
      </c>
      <c r="D22" s="113"/>
      <c r="E22" s="113"/>
      <c r="F22" s="113"/>
      <c r="G22" s="113"/>
      <c r="H22" s="113">
        <v>2</v>
      </c>
      <c r="I22" s="113"/>
      <c r="J22" s="113"/>
      <c r="K22" s="113"/>
      <c r="L22" s="113">
        <v>2</v>
      </c>
      <c r="M22" s="113"/>
      <c r="N22" s="113">
        <v>3</v>
      </c>
      <c r="O22" s="113"/>
      <c r="P22" s="113"/>
      <c r="Q22" s="98">
        <f t="shared" si="0"/>
        <v>8</v>
      </c>
    </row>
    <row r="23" spans="1:33" x14ac:dyDescent="0.2">
      <c r="C23" s="180">
        <f>SUM(C9:C22)</f>
        <v>5</v>
      </c>
      <c r="D23" s="180">
        <f t="shared" ref="D23:P23" si="1">SUM(D9:D22)</f>
        <v>1</v>
      </c>
      <c r="E23" s="180">
        <f t="shared" si="1"/>
        <v>0</v>
      </c>
      <c r="F23" s="180">
        <f t="shared" si="1"/>
        <v>0</v>
      </c>
      <c r="G23" s="180">
        <f t="shared" si="1"/>
        <v>0</v>
      </c>
      <c r="H23" s="180">
        <f t="shared" si="1"/>
        <v>4</v>
      </c>
      <c r="I23" s="180">
        <f t="shared" si="1"/>
        <v>14</v>
      </c>
      <c r="J23" s="180">
        <f t="shared" si="1"/>
        <v>1</v>
      </c>
      <c r="K23" s="180">
        <f t="shared" si="1"/>
        <v>9</v>
      </c>
      <c r="L23" s="180">
        <f t="shared" si="1"/>
        <v>12</v>
      </c>
      <c r="M23" s="180">
        <f t="shared" si="1"/>
        <v>0</v>
      </c>
      <c r="N23" s="180"/>
      <c r="O23" s="180">
        <f t="shared" si="1"/>
        <v>0</v>
      </c>
      <c r="P23" s="180">
        <f t="shared" si="1"/>
        <v>5</v>
      </c>
    </row>
    <row r="29" spans="1:33" x14ac:dyDescent="0.2">
      <c r="A29" s="462" t="s">
        <v>296</v>
      </c>
      <c r="B29" s="478" t="s">
        <v>92</v>
      </c>
      <c r="C29" s="478" t="s">
        <v>87</v>
      </c>
    </row>
    <row r="30" spans="1:33" x14ac:dyDescent="0.2">
      <c r="B30" s="791">
        <v>100</v>
      </c>
      <c r="C30" s="113">
        <f>Dash!O27</f>
        <v>2</v>
      </c>
      <c r="AG30" s="219"/>
    </row>
    <row r="31" spans="1:33" x14ac:dyDescent="0.2">
      <c r="B31" s="791">
        <v>200</v>
      </c>
      <c r="C31" s="113">
        <f>Dash!O28</f>
        <v>4</v>
      </c>
    </row>
    <row r="32" spans="1:33" x14ac:dyDescent="0.2">
      <c r="B32" s="791">
        <v>300</v>
      </c>
      <c r="C32" s="113">
        <f>Dash!O29</f>
        <v>2</v>
      </c>
    </row>
    <row r="33" spans="1:38" x14ac:dyDescent="0.2">
      <c r="B33" s="791">
        <v>400</v>
      </c>
      <c r="C33" s="113">
        <f>Dash!O30</f>
        <v>4</v>
      </c>
    </row>
    <row r="34" spans="1:38" x14ac:dyDescent="0.2">
      <c r="B34" s="791">
        <v>500</v>
      </c>
      <c r="C34" s="113">
        <f>Dash!O31</f>
        <v>2</v>
      </c>
    </row>
    <row r="35" spans="1:38" ht="15" x14ac:dyDescent="0.25">
      <c r="B35" s="791">
        <v>600</v>
      </c>
      <c r="C35" s="113">
        <f>Dash!O32</f>
        <v>3</v>
      </c>
      <c r="J35" s="146"/>
      <c r="K35" s="146"/>
      <c r="L35" s="146"/>
      <c r="M35" s="146"/>
      <c r="N35" s="146"/>
      <c r="O35" s="146"/>
      <c r="P35" s="146"/>
      <c r="Q35" s="146"/>
      <c r="R35" s="146"/>
      <c r="S35" s="146"/>
      <c r="T35" s="146"/>
      <c r="U35" s="146"/>
      <c r="V35" s="146"/>
      <c r="W35" s="146"/>
    </row>
    <row r="36" spans="1:38" x14ac:dyDescent="0.2">
      <c r="B36" s="791">
        <v>700</v>
      </c>
      <c r="C36" s="113">
        <f>Dash!O33</f>
        <v>2</v>
      </c>
      <c r="J36" s="968"/>
      <c r="K36" s="968"/>
      <c r="L36" s="968"/>
      <c r="M36" s="968"/>
      <c r="N36" s="968"/>
      <c r="O36" s="968"/>
      <c r="P36" s="968"/>
      <c r="Q36" s="968"/>
      <c r="R36" s="218"/>
      <c r="S36" s="969"/>
      <c r="T36" s="969"/>
      <c r="U36" s="969"/>
      <c r="V36" s="969"/>
      <c r="W36" s="966"/>
    </row>
    <row r="37" spans="1:38" x14ac:dyDescent="0.2">
      <c r="B37" s="791">
        <v>800</v>
      </c>
      <c r="C37" s="113">
        <f>Dash!O34</f>
        <v>0</v>
      </c>
      <c r="J37" s="970"/>
      <c r="K37" s="458"/>
      <c r="L37" s="971"/>
      <c r="M37" s="970"/>
      <c r="N37" s="970"/>
      <c r="O37" s="968"/>
      <c r="P37" s="972"/>
      <c r="Q37" s="973"/>
      <c r="R37" s="967"/>
      <c r="S37" s="968"/>
      <c r="T37" s="969"/>
      <c r="U37" s="969"/>
      <c r="V37" s="969"/>
      <c r="W37" s="966"/>
    </row>
    <row r="38" spans="1:38" x14ac:dyDescent="0.2">
      <c r="B38" s="791">
        <v>900</v>
      </c>
      <c r="C38" s="113">
        <f>Dash!O35</f>
        <v>0</v>
      </c>
      <c r="J38" s="970"/>
      <c r="K38" s="458"/>
      <c r="L38" s="968"/>
      <c r="M38" s="968"/>
      <c r="N38" s="968"/>
      <c r="O38" s="968"/>
      <c r="P38" s="972"/>
      <c r="Q38" s="974"/>
      <c r="R38" s="967"/>
      <c r="S38" s="968"/>
      <c r="T38" s="969"/>
      <c r="U38" s="969"/>
      <c r="V38" s="969"/>
      <c r="W38" s="966"/>
    </row>
    <row r="39" spans="1:38" x14ac:dyDescent="0.2">
      <c r="B39" s="791" t="s">
        <v>307</v>
      </c>
      <c r="C39" s="113">
        <f>Dash!O36</f>
        <v>2</v>
      </c>
      <c r="J39" s="975"/>
      <c r="K39" s="459"/>
      <c r="L39" s="968"/>
      <c r="M39" s="965"/>
      <c r="N39" s="760"/>
      <c r="O39" s="965"/>
      <c r="P39" s="972"/>
      <c r="Q39" s="974"/>
      <c r="R39" s="967"/>
      <c r="S39" s="968"/>
      <c r="T39" s="969"/>
      <c r="U39" s="969"/>
      <c r="V39" s="969"/>
      <c r="W39" s="966"/>
    </row>
    <row r="40" spans="1:38" x14ac:dyDescent="0.2">
      <c r="B40" s="791" t="s">
        <v>310</v>
      </c>
      <c r="C40" s="113">
        <f>Dash!O37</f>
        <v>0</v>
      </c>
      <c r="J40" s="975"/>
      <c r="K40" s="459"/>
      <c r="L40" s="968"/>
      <c r="M40" s="965"/>
      <c r="N40" s="760"/>
      <c r="O40" s="965"/>
      <c r="P40" s="972"/>
      <c r="Q40" s="974"/>
      <c r="R40" s="967"/>
      <c r="S40" s="968"/>
      <c r="T40" s="969"/>
      <c r="U40" s="969"/>
      <c r="V40" s="969"/>
      <c r="W40" s="966"/>
    </row>
    <row r="41" spans="1:38" ht="15" x14ac:dyDescent="0.25">
      <c r="B41" s="791" t="s">
        <v>309</v>
      </c>
      <c r="C41" s="113">
        <f>Dash!O38</f>
        <v>0</v>
      </c>
      <c r="J41" s="146"/>
      <c r="K41" s="146"/>
      <c r="L41" s="146"/>
      <c r="M41" s="146"/>
      <c r="N41" s="146"/>
      <c r="O41" s="146"/>
      <c r="P41" s="146"/>
      <c r="Q41" s="146"/>
      <c r="R41" s="146"/>
      <c r="S41" s="146"/>
      <c r="T41" s="146"/>
      <c r="U41" s="146"/>
      <c r="V41" s="146"/>
      <c r="W41" s="146"/>
      <c r="X41" s="146"/>
      <c r="Y41" s="146"/>
      <c r="Z41" s="146"/>
      <c r="AA41" s="146"/>
      <c r="AB41" s="146"/>
      <c r="AC41" s="146"/>
      <c r="AD41" s="146"/>
      <c r="AE41" s="146"/>
      <c r="AF41" s="146"/>
      <c r="AG41" s="146"/>
      <c r="AH41" s="146"/>
      <c r="AI41" s="146"/>
      <c r="AJ41" s="146"/>
      <c r="AK41" s="146"/>
      <c r="AL41" s="146"/>
    </row>
    <row r="42" spans="1:38" ht="15" x14ac:dyDescent="0.25">
      <c r="B42" s="113" t="s">
        <v>341</v>
      </c>
      <c r="C42" s="113">
        <f>Dash!O39</f>
        <v>14</v>
      </c>
      <c r="J42" s="146"/>
      <c r="K42" s="146"/>
      <c r="L42" s="146"/>
      <c r="M42" s="146"/>
      <c r="N42" s="146"/>
      <c r="O42" s="146"/>
      <c r="P42" s="146"/>
      <c r="Q42" s="146"/>
      <c r="R42" s="146"/>
      <c r="S42" s="146"/>
      <c r="T42" s="146"/>
      <c r="U42" s="146"/>
      <c r="V42" s="146"/>
      <c r="W42" s="146"/>
      <c r="X42" s="146"/>
      <c r="Y42" s="146"/>
      <c r="Z42" s="146"/>
      <c r="AA42" s="146"/>
      <c r="AB42" s="146"/>
      <c r="AC42" s="146"/>
      <c r="AD42" s="146"/>
      <c r="AE42" s="146"/>
      <c r="AF42" s="146"/>
      <c r="AG42" s="146"/>
      <c r="AH42" s="146"/>
      <c r="AI42" s="146"/>
      <c r="AJ42" s="146"/>
      <c r="AK42" s="146"/>
      <c r="AL42" s="146"/>
    </row>
    <row r="43" spans="1:38" ht="15" x14ac:dyDescent="0.25">
      <c r="B43" s="113" t="s">
        <v>344</v>
      </c>
      <c r="C43" s="113">
        <f>Dash!O40</f>
        <v>6</v>
      </c>
      <c r="J43" s="217"/>
      <c r="K43" s="217"/>
      <c r="L43" s="217"/>
      <c r="M43" s="217"/>
      <c r="N43" s="217"/>
      <c r="O43" s="217"/>
      <c r="P43" s="217"/>
      <c r="Q43" s="217"/>
      <c r="R43" s="217"/>
      <c r="S43" s="217"/>
      <c r="T43" s="217"/>
      <c r="U43" s="217"/>
      <c r="V43" s="217"/>
      <c r="W43" s="217"/>
      <c r="X43" s="217"/>
      <c r="Y43" s="217"/>
      <c r="Z43" s="217"/>
      <c r="AA43" s="217"/>
      <c r="AB43" s="217"/>
      <c r="AC43" s="217"/>
      <c r="AD43" s="217"/>
      <c r="AE43" s="217"/>
      <c r="AF43" s="217"/>
      <c r="AG43" s="217"/>
      <c r="AH43" s="217"/>
      <c r="AI43" s="217"/>
      <c r="AJ43" s="217"/>
      <c r="AK43" s="217"/>
      <c r="AL43" s="217"/>
    </row>
    <row r="44" spans="1:38" ht="15" x14ac:dyDescent="0.25">
      <c r="C44" s="573">
        <f>Dash!O41</f>
        <v>41</v>
      </c>
      <c r="J44" s="146"/>
      <c r="K44" s="146"/>
      <c r="L44" s="146"/>
      <c r="M44" s="146"/>
      <c r="N44" s="146"/>
      <c r="O44" s="146"/>
      <c r="P44" s="146"/>
      <c r="Q44" s="146"/>
      <c r="R44" s="146"/>
      <c r="S44" s="146"/>
      <c r="T44" s="146"/>
      <c r="U44" s="146"/>
      <c r="V44" s="146"/>
      <c r="W44" s="146"/>
      <c r="X44" s="146"/>
      <c r="Y44" s="146"/>
      <c r="Z44" s="146"/>
      <c r="AA44" s="146"/>
      <c r="AB44" s="146"/>
      <c r="AC44" s="146"/>
      <c r="AD44" s="146"/>
      <c r="AE44" s="146"/>
      <c r="AF44" s="146"/>
      <c r="AG44" s="146"/>
      <c r="AH44" s="146"/>
      <c r="AI44" s="146"/>
      <c r="AJ44" s="146"/>
      <c r="AK44" s="146"/>
      <c r="AL44" s="146"/>
    </row>
    <row r="46" spans="1:38" ht="13.5" thickBot="1" x14ac:dyDescent="0.25">
      <c r="A46" s="101"/>
      <c r="B46" s="101"/>
      <c r="C46" s="101"/>
      <c r="D46" s="101"/>
      <c r="E46" s="101"/>
      <c r="F46" s="101"/>
      <c r="G46" s="101"/>
      <c r="H46" s="101"/>
    </row>
    <row r="47" spans="1:38" x14ac:dyDescent="0.2">
      <c r="A47" s="462" t="s">
        <v>237</v>
      </c>
      <c r="B47" s="487" t="s">
        <v>92</v>
      </c>
      <c r="C47" s="487" t="s">
        <v>87</v>
      </c>
      <c r="D47" s="117"/>
      <c r="E47" s="791" t="s">
        <v>341</v>
      </c>
      <c r="F47" s="478">
        <v>13</v>
      </c>
    </row>
    <row r="48" spans="1:38" x14ac:dyDescent="0.2">
      <c r="B48" s="791">
        <v>100</v>
      </c>
      <c r="C48" s="113"/>
      <c r="D48" s="117"/>
      <c r="E48" s="791">
        <v>200</v>
      </c>
      <c r="F48" s="478">
        <v>4</v>
      </c>
    </row>
    <row r="49" spans="1:11" x14ac:dyDescent="0.2">
      <c r="B49" s="791">
        <v>200</v>
      </c>
      <c r="C49" s="113">
        <v>2</v>
      </c>
      <c r="D49" s="117"/>
      <c r="E49" s="791" t="s">
        <v>344</v>
      </c>
      <c r="F49" s="478">
        <v>4</v>
      </c>
    </row>
    <row r="50" spans="1:11" x14ac:dyDescent="0.2">
      <c r="B50" s="791">
        <v>300</v>
      </c>
      <c r="C50" s="113"/>
      <c r="D50" s="117"/>
      <c r="E50" s="791">
        <v>400</v>
      </c>
      <c r="F50" s="478">
        <v>3</v>
      </c>
    </row>
    <row r="51" spans="1:11" x14ac:dyDescent="0.2">
      <c r="B51" s="791">
        <v>400</v>
      </c>
      <c r="C51" s="113">
        <v>1</v>
      </c>
      <c r="D51" s="117"/>
      <c r="E51" s="791">
        <v>600</v>
      </c>
      <c r="F51" s="478">
        <v>3</v>
      </c>
    </row>
    <row r="52" spans="1:11" x14ac:dyDescent="0.2">
      <c r="B52" s="791">
        <v>500</v>
      </c>
      <c r="C52" s="113"/>
      <c r="D52" s="117"/>
      <c r="E52" s="791">
        <v>100</v>
      </c>
      <c r="F52" s="478">
        <v>2</v>
      </c>
    </row>
    <row r="53" spans="1:11" x14ac:dyDescent="0.2">
      <c r="B53" s="791">
        <v>600</v>
      </c>
      <c r="C53" s="113">
        <v>2</v>
      </c>
      <c r="D53" s="117"/>
      <c r="E53" s="791">
        <v>300</v>
      </c>
      <c r="F53" s="478">
        <v>2</v>
      </c>
    </row>
    <row r="54" spans="1:11" x14ac:dyDescent="0.2">
      <c r="B54" s="791">
        <v>700</v>
      </c>
      <c r="C54" s="113">
        <v>1</v>
      </c>
      <c r="D54" s="117"/>
      <c r="E54" s="791">
        <v>500</v>
      </c>
      <c r="F54" s="478">
        <v>2</v>
      </c>
    </row>
    <row r="55" spans="1:11" x14ac:dyDescent="0.2">
      <c r="B55" s="791">
        <v>800</v>
      </c>
      <c r="C55" s="113"/>
      <c r="D55" s="117"/>
      <c r="E55" s="791">
        <v>700</v>
      </c>
      <c r="F55" s="478">
        <v>2</v>
      </c>
      <c r="I55" s="666"/>
      <c r="J55" s="527"/>
      <c r="K55" s="527"/>
    </row>
    <row r="56" spans="1:11" x14ac:dyDescent="0.2">
      <c r="B56" s="791">
        <v>900</v>
      </c>
      <c r="C56" s="113"/>
      <c r="D56" s="117"/>
      <c r="E56" s="791" t="s">
        <v>307</v>
      </c>
      <c r="F56" s="478">
        <v>2</v>
      </c>
    </row>
    <row r="57" spans="1:11" x14ac:dyDescent="0.2">
      <c r="B57" s="791" t="s">
        <v>307</v>
      </c>
      <c r="C57" s="113">
        <v>1</v>
      </c>
      <c r="D57" s="117"/>
      <c r="E57" s="791">
        <v>800</v>
      </c>
      <c r="F57" s="478">
        <v>0</v>
      </c>
    </row>
    <row r="58" spans="1:11" x14ac:dyDescent="0.2">
      <c r="B58" s="791" t="s">
        <v>310</v>
      </c>
      <c r="C58" s="113"/>
      <c r="D58" s="117"/>
      <c r="E58" s="791">
        <v>900</v>
      </c>
      <c r="F58" s="478">
        <v>0</v>
      </c>
    </row>
    <row r="59" spans="1:11" x14ac:dyDescent="0.2">
      <c r="B59" s="791" t="s">
        <v>309</v>
      </c>
      <c r="C59" s="113"/>
      <c r="D59" s="117"/>
      <c r="E59" s="791" t="s">
        <v>310</v>
      </c>
      <c r="F59" s="478">
        <v>0</v>
      </c>
    </row>
    <row r="60" spans="1:11" x14ac:dyDescent="0.2">
      <c r="B60" s="113" t="s">
        <v>341</v>
      </c>
      <c r="C60" s="113">
        <v>13</v>
      </c>
      <c r="D60" s="117"/>
      <c r="E60" s="791" t="s">
        <v>309</v>
      </c>
      <c r="F60" s="478">
        <v>0</v>
      </c>
    </row>
    <row r="61" spans="1:11" x14ac:dyDescent="0.2">
      <c r="B61" s="113" t="s">
        <v>344</v>
      </c>
      <c r="C61" s="113">
        <v>6</v>
      </c>
      <c r="D61" s="117"/>
    </row>
    <row r="62" spans="1:11" x14ac:dyDescent="0.2">
      <c r="C62" s="573">
        <f>SUM(C48:C61)</f>
        <v>26</v>
      </c>
      <c r="D62" s="117"/>
    </row>
    <row r="63" spans="1:11" x14ac:dyDescent="0.2">
      <c r="D63" s="117"/>
    </row>
    <row r="64" spans="1:11" ht="13.5" thickBot="1" x14ac:dyDescent="0.25">
      <c r="A64" s="101"/>
      <c r="B64" s="101"/>
      <c r="C64" s="101"/>
      <c r="D64" s="104"/>
      <c r="E64" s="101"/>
      <c r="F64" s="101"/>
      <c r="G64" s="101"/>
      <c r="H64" s="101"/>
    </row>
    <row r="65" spans="1:6" x14ac:dyDescent="0.2">
      <c r="A65" s="462" t="s">
        <v>149</v>
      </c>
      <c r="B65" s="124" t="s">
        <v>92</v>
      </c>
      <c r="C65" s="124" t="s">
        <v>87</v>
      </c>
      <c r="D65" s="117"/>
      <c r="E65" s="791">
        <v>600</v>
      </c>
      <c r="F65" s="478">
        <v>7</v>
      </c>
    </row>
    <row r="66" spans="1:6" x14ac:dyDescent="0.2">
      <c r="B66" s="791">
        <v>100</v>
      </c>
      <c r="C66" s="113" cm="1">
        <f t="array" ref="C66:C80">Dash!O7:O21</f>
        <v>2</v>
      </c>
      <c r="D66" s="117"/>
      <c r="E66" s="113" t="s">
        <v>341</v>
      </c>
      <c r="F66" s="478">
        <v>6</v>
      </c>
    </row>
    <row r="67" spans="1:6" x14ac:dyDescent="0.2">
      <c r="B67" s="791">
        <v>200</v>
      </c>
      <c r="C67" s="113">
        <v>1</v>
      </c>
      <c r="D67" s="117"/>
      <c r="E67" s="791">
        <v>700</v>
      </c>
      <c r="F67" s="478">
        <v>5</v>
      </c>
    </row>
    <row r="68" spans="1:6" x14ac:dyDescent="0.2">
      <c r="B68" s="791">
        <v>300</v>
      </c>
      <c r="C68" s="113">
        <v>0</v>
      </c>
      <c r="D68" s="117"/>
      <c r="E68" s="791">
        <v>400</v>
      </c>
      <c r="F68" s="478">
        <v>2</v>
      </c>
    </row>
    <row r="69" spans="1:6" x14ac:dyDescent="0.2">
      <c r="B69" s="791">
        <v>400</v>
      </c>
      <c r="C69" s="113">
        <v>2</v>
      </c>
      <c r="D69" s="117"/>
      <c r="E69" s="113" t="s">
        <v>392</v>
      </c>
      <c r="F69" s="478">
        <v>2</v>
      </c>
    </row>
    <row r="70" spans="1:6" x14ac:dyDescent="0.2">
      <c r="B70" s="791">
        <v>500</v>
      </c>
      <c r="C70" s="113">
        <v>1</v>
      </c>
      <c r="D70" s="117"/>
      <c r="E70" s="113" t="s">
        <v>344</v>
      </c>
      <c r="F70" s="478">
        <v>2</v>
      </c>
    </row>
    <row r="71" spans="1:6" x14ac:dyDescent="0.2">
      <c r="B71" s="791">
        <v>600</v>
      </c>
      <c r="C71" s="113">
        <v>7</v>
      </c>
      <c r="D71" s="117"/>
      <c r="E71" s="791">
        <v>100</v>
      </c>
      <c r="F71" s="478">
        <v>1</v>
      </c>
    </row>
    <row r="72" spans="1:6" x14ac:dyDescent="0.2">
      <c r="B72" s="791">
        <v>700</v>
      </c>
      <c r="C72" s="113">
        <v>5</v>
      </c>
      <c r="D72" s="117"/>
      <c r="E72" s="791">
        <v>200</v>
      </c>
      <c r="F72" s="478">
        <v>1</v>
      </c>
    </row>
    <row r="73" spans="1:6" x14ac:dyDescent="0.2">
      <c r="B73" s="791">
        <v>800</v>
      </c>
      <c r="C73" s="113">
        <v>1</v>
      </c>
      <c r="D73" s="117"/>
      <c r="E73" s="791">
        <v>500</v>
      </c>
      <c r="F73" s="478">
        <v>1</v>
      </c>
    </row>
    <row r="74" spans="1:6" x14ac:dyDescent="0.2">
      <c r="B74" s="791">
        <v>900</v>
      </c>
      <c r="C74" s="113">
        <v>0</v>
      </c>
      <c r="D74" s="117"/>
      <c r="E74" s="791" t="s">
        <v>307</v>
      </c>
      <c r="F74" s="478">
        <v>1</v>
      </c>
    </row>
    <row r="75" spans="1:6" x14ac:dyDescent="0.2">
      <c r="B75" s="791" t="s">
        <v>307</v>
      </c>
      <c r="C75" s="113">
        <v>1</v>
      </c>
      <c r="D75" s="117"/>
      <c r="E75" s="791" t="s">
        <v>309</v>
      </c>
      <c r="F75" s="478">
        <v>1</v>
      </c>
    </row>
    <row r="76" spans="1:6" x14ac:dyDescent="0.2">
      <c r="B76" s="791" t="s">
        <v>310</v>
      </c>
      <c r="C76" s="113">
        <v>0</v>
      </c>
      <c r="D76" s="117"/>
      <c r="E76" s="791">
        <v>300</v>
      </c>
      <c r="F76" s="478">
        <v>0</v>
      </c>
    </row>
    <row r="77" spans="1:6" x14ac:dyDescent="0.2">
      <c r="B77" s="791" t="s">
        <v>309</v>
      </c>
      <c r="C77" s="113">
        <v>1</v>
      </c>
      <c r="D77" s="117"/>
      <c r="E77" s="791">
        <v>800</v>
      </c>
      <c r="F77" s="478">
        <v>0</v>
      </c>
    </row>
    <row r="78" spans="1:6" x14ac:dyDescent="0.2">
      <c r="B78" s="113" t="s">
        <v>341</v>
      </c>
      <c r="C78" s="113">
        <v>6</v>
      </c>
      <c r="D78" s="117"/>
      <c r="E78" s="791">
        <v>900</v>
      </c>
      <c r="F78" s="478">
        <v>0</v>
      </c>
    </row>
    <row r="79" spans="1:6" x14ac:dyDescent="0.2">
      <c r="B79" s="113" t="s">
        <v>392</v>
      </c>
      <c r="C79" s="113">
        <v>2</v>
      </c>
      <c r="D79" s="117"/>
      <c r="E79" s="791" t="s">
        <v>310</v>
      </c>
      <c r="F79" s="478">
        <v>0</v>
      </c>
    </row>
    <row r="80" spans="1:6" x14ac:dyDescent="0.2">
      <c r="B80" s="113" t="s">
        <v>344</v>
      </c>
      <c r="C80" s="113">
        <v>2</v>
      </c>
      <c r="D80" s="117"/>
    </row>
    <row r="81" spans="3:3" x14ac:dyDescent="0.2">
      <c r="C81" s="573">
        <f>SUM(C66:C80)</f>
        <v>31</v>
      </c>
    </row>
  </sheetData>
  <sortState xmlns:xlrd2="http://schemas.microsoft.com/office/spreadsheetml/2017/richdata2" ref="E47:F60">
    <sortCondition descending="1" ref="F47:F60"/>
  </sortState>
  <mergeCells count="17">
    <mergeCell ref="V36:V40"/>
    <mergeCell ref="O39:O40"/>
    <mergeCell ref="W36:W40"/>
    <mergeCell ref="R37:R40"/>
    <mergeCell ref="J36:O36"/>
    <mergeCell ref="P36:Q36"/>
    <mergeCell ref="S36:S40"/>
    <mergeCell ref="J37:J38"/>
    <mergeCell ref="L37:L38"/>
    <mergeCell ref="M37:O38"/>
    <mergeCell ref="U36:U40"/>
    <mergeCell ref="P37:P40"/>
    <mergeCell ref="Q37:Q40"/>
    <mergeCell ref="J39:J40"/>
    <mergeCell ref="L39:L40"/>
    <mergeCell ref="M39:M40"/>
    <mergeCell ref="T36:T40"/>
  </mergeCells>
  <phoneticPr fontId="47" type="noConversion"/>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95191-56EC-4471-8D11-7E9A91A05DD0}">
  <sheetPr codeName="Sheet1"/>
  <dimension ref="A1:BZ197"/>
  <sheetViews>
    <sheetView showZeros="0" tabSelected="1" topLeftCell="A3" zoomScaleNormal="100" workbookViewId="0">
      <selection activeCell="AE50" sqref="AE50"/>
    </sheetView>
  </sheetViews>
  <sheetFormatPr defaultColWidth="9.140625" defaultRowHeight="12.75" x14ac:dyDescent="0.2"/>
  <cols>
    <col min="1" max="1" width="38.5703125" style="98" customWidth="1"/>
    <col min="2" max="2" width="7.42578125" style="98" customWidth="1"/>
    <col min="3" max="3" width="12.28515625" style="98" bestFit="1" customWidth="1"/>
    <col min="4" max="4" width="5.28515625" style="98" bestFit="1" customWidth="1"/>
    <col min="5" max="5" width="4.85546875" style="98" bestFit="1" customWidth="1"/>
    <col min="6" max="6" width="5.28515625" style="98" bestFit="1" customWidth="1"/>
    <col min="7" max="8" width="4.5703125" style="98" bestFit="1" customWidth="1"/>
    <col min="9" max="9" width="5" style="98" bestFit="1" customWidth="1"/>
    <col min="10" max="10" width="4.7109375" style="98" bestFit="1" customWidth="1"/>
    <col min="11" max="11" width="7.85546875" style="98" customWidth="1"/>
    <col min="12" max="12" width="5" style="98" bestFit="1" customWidth="1"/>
    <col min="13" max="13" width="4.7109375" style="98" bestFit="1" customWidth="1"/>
    <col min="14" max="14" width="5.7109375" style="98" bestFit="1" customWidth="1"/>
    <col min="15" max="15" width="9.140625" style="98"/>
    <col min="16" max="16" width="22.85546875" style="98" bestFit="1" customWidth="1"/>
    <col min="17" max="25" width="9.140625" style="98"/>
    <col min="26" max="26" width="8.140625" style="98" customWidth="1"/>
    <col min="27" max="31" width="9.140625" style="98" customWidth="1"/>
    <col min="32" max="33" width="9.140625" style="98"/>
    <col min="34" max="34" width="35.28515625" style="98" bestFit="1" customWidth="1"/>
    <col min="35" max="35" width="14.5703125" style="98" bestFit="1" customWidth="1"/>
    <col min="36" max="36" width="11.5703125" style="98" bestFit="1" customWidth="1"/>
    <col min="37" max="37" width="8.85546875" style="98" bestFit="1" customWidth="1"/>
    <col min="38" max="38" width="4.140625" style="98" bestFit="1" customWidth="1"/>
    <col min="39" max="40" width="9.140625" style="98"/>
    <col min="41" max="41" width="6.140625" style="98" bestFit="1" customWidth="1"/>
    <col min="42" max="43" width="6.140625" style="98" customWidth="1"/>
    <col min="44" max="44" width="8.85546875" style="98" bestFit="1" customWidth="1"/>
    <col min="45" max="49" width="9.140625" style="98"/>
    <col min="50" max="50" width="12.28515625" style="98" bestFit="1" customWidth="1"/>
    <col min="51" max="52" width="9.140625" style="98"/>
    <col min="53" max="53" width="18.5703125" style="98" bestFit="1" customWidth="1"/>
    <col min="54" max="58" width="9.140625" style="98"/>
    <col min="59" max="59" width="22.7109375" style="98" bestFit="1" customWidth="1"/>
    <col min="60" max="60" width="4.42578125" style="98" bestFit="1" customWidth="1"/>
    <col min="61" max="61" width="4.7109375" style="98" bestFit="1" customWidth="1"/>
    <col min="62" max="62" width="5.140625" style="98" bestFit="1" customWidth="1"/>
    <col min="63" max="63" width="4.85546875" style="98" bestFit="1" customWidth="1"/>
    <col min="64" max="64" width="5.140625" style="98" bestFit="1" customWidth="1"/>
    <col min="65" max="65" width="5.140625" style="98" customWidth="1"/>
    <col min="66" max="66" width="4.140625" style="98" bestFit="1" customWidth="1"/>
    <col min="67" max="67" width="5" style="98" bestFit="1" customWidth="1"/>
    <col min="68" max="69" width="4.85546875" style="98" bestFit="1" customWidth="1"/>
    <col min="70" max="70" width="5" style="98" customWidth="1"/>
    <col min="71" max="71" width="4.85546875" style="98" bestFit="1" customWidth="1"/>
    <col min="72" max="72" width="5" style="98" bestFit="1" customWidth="1"/>
    <col min="73" max="16384" width="9.140625" style="98"/>
  </cols>
  <sheetData>
    <row r="1" spans="1:78" ht="13.5" thickBot="1" x14ac:dyDescent="0.25"/>
    <row r="2" spans="1:78" ht="13.5" thickBot="1" x14ac:dyDescent="0.25">
      <c r="P2" s="824" t="s">
        <v>414</v>
      </c>
      <c r="Q2" s="825"/>
      <c r="R2" s="180"/>
      <c r="S2" s="180"/>
      <c r="T2" s="180"/>
      <c r="U2" s="180"/>
      <c r="BG2" s="98" t="s">
        <v>11</v>
      </c>
      <c r="BH2" s="98">
        <v>60</v>
      </c>
      <c r="BI2" s="98">
        <v>60</v>
      </c>
      <c r="BJ2" s="98">
        <v>60</v>
      </c>
      <c r="BK2" s="98">
        <v>60</v>
      </c>
      <c r="BL2" s="98">
        <v>60</v>
      </c>
      <c r="BM2" s="98">
        <v>60</v>
      </c>
      <c r="BN2" s="98">
        <v>60</v>
      </c>
      <c r="BO2" s="98">
        <v>60</v>
      </c>
      <c r="BP2" s="98">
        <v>60</v>
      </c>
      <c r="BQ2" s="98">
        <v>60</v>
      </c>
      <c r="BR2" s="98">
        <v>60</v>
      </c>
      <c r="BS2" s="98">
        <v>60</v>
      </c>
      <c r="BT2" s="98">
        <v>60</v>
      </c>
    </row>
    <row r="3" spans="1:78" ht="15" x14ac:dyDescent="0.2">
      <c r="A3" s="542" t="s">
        <v>244</v>
      </c>
      <c r="D3" s="521"/>
      <c r="P3" s="797">
        <v>2025</v>
      </c>
      <c r="Q3" s="799">
        <v>41</v>
      </c>
      <c r="BG3" s="98" t="s">
        <v>248</v>
      </c>
    </row>
    <row r="4" spans="1:78" ht="13.5" thickBot="1" x14ac:dyDescent="0.25">
      <c r="P4" s="800">
        <v>2026</v>
      </c>
      <c r="Q4" s="801">
        <f>N7</f>
        <v>41</v>
      </c>
    </row>
    <row r="5" spans="1:78" ht="13.5" thickBot="1" x14ac:dyDescent="0.25">
      <c r="A5" s="745"/>
      <c r="B5" s="474" t="s">
        <v>60</v>
      </c>
      <c r="C5" s="474" t="s">
        <v>59</v>
      </c>
      <c r="D5" s="469" t="s">
        <v>58</v>
      </c>
      <c r="E5" s="474" t="s">
        <v>57</v>
      </c>
      <c r="F5" s="474" t="s">
        <v>56</v>
      </c>
      <c r="G5" s="474" t="s">
        <v>55</v>
      </c>
      <c r="H5" s="474" t="s">
        <v>54</v>
      </c>
      <c r="I5" s="474" t="s">
        <v>53</v>
      </c>
      <c r="J5" s="474" t="s">
        <v>52</v>
      </c>
      <c r="K5" s="474" t="s">
        <v>51</v>
      </c>
      <c r="L5" s="474" t="s">
        <v>50</v>
      </c>
      <c r="M5" s="474" t="s">
        <v>49</v>
      </c>
      <c r="N5" s="475" t="s">
        <v>148</v>
      </c>
      <c r="P5" s="586"/>
      <c r="Q5" s="473"/>
      <c r="Y5" s="180"/>
      <c r="Z5" s="180"/>
      <c r="AA5" s="180"/>
      <c r="AB5" s="180"/>
      <c r="AC5" s="180"/>
      <c r="AD5" s="180"/>
      <c r="AE5" s="180"/>
    </row>
    <row r="6" spans="1:78" ht="19.5" thickBot="1" x14ac:dyDescent="0.35">
      <c r="A6" s="474" t="s">
        <v>149</v>
      </c>
      <c r="B6" s="468" cm="1">
        <f t="array" ref="B6:M6">Dash!C22:N22</f>
        <v>3</v>
      </c>
      <c r="C6" s="113">
        <v>0</v>
      </c>
      <c r="D6" s="113">
        <v>0</v>
      </c>
      <c r="E6" s="113">
        <v>11</v>
      </c>
      <c r="F6" s="113">
        <v>2</v>
      </c>
      <c r="G6" s="113">
        <v>4</v>
      </c>
      <c r="H6" s="113">
        <v>4</v>
      </c>
      <c r="I6" s="113">
        <v>5</v>
      </c>
      <c r="J6" s="113">
        <v>2</v>
      </c>
      <c r="K6" s="113">
        <v>0</v>
      </c>
      <c r="L6" s="113">
        <v>0</v>
      </c>
      <c r="M6" s="98">
        <v>0</v>
      </c>
      <c r="N6" s="470">
        <f>SUM(B6:M6)</f>
        <v>31</v>
      </c>
      <c r="AG6" s="529"/>
      <c r="AH6" s="539" t="s">
        <v>138</v>
      </c>
      <c r="AI6" s="530"/>
      <c r="AJ6" s="530"/>
      <c r="AK6" s="530"/>
      <c r="AL6" s="530"/>
      <c r="AM6" s="530"/>
      <c r="AN6" s="530"/>
      <c r="AO6" s="530"/>
      <c r="AP6" s="530"/>
      <c r="AQ6" s="530"/>
      <c r="AR6" s="530"/>
      <c r="AS6" s="530"/>
      <c r="AT6" s="530"/>
      <c r="AU6" s="530"/>
      <c r="AV6" s="530"/>
      <c r="AW6" s="530"/>
      <c r="AX6" s="530"/>
      <c r="AY6" s="531"/>
      <c r="BA6" s="662" t="s">
        <v>137</v>
      </c>
      <c r="BB6" s="664"/>
      <c r="BG6" s="126" t="s">
        <v>235</v>
      </c>
      <c r="BH6" s="105" t="s">
        <v>222</v>
      </c>
      <c r="BI6" s="128" t="s">
        <v>223</v>
      </c>
      <c r="BJ6" s="128" t="s">
        <v>224</v>
      </c>
      <c r="BK6" s="128" t="s">
        <v>225</v>
      </c>
      <c r="BL6" s="128" t="s">
        <v>226</v>
      </c>
      <c r="BM6" s="128" t="s">
        <v>227</v>
      </c>
      <c r="BN6" s="128" t="s">
        <v>228</v>
      </c>
      <c r="BO6" s="128" t="s">
        <v>229</v>
      </c>
      <c r="BP6" s="128" t="s">
        <v>230</v>
      </c>
      <c r="BQ6" s="128" t="s">
        <v>231</v>
      </c>
      <c r="BR6" s="128" t="s">
        <v>232</v>
      </c>
      <c r="BS6" s="128" t="s">
        <v>233</v>
      </c>
      <c r="BT6" s="499" t="s">
        <v>148</v>
      </c>
    </row>
    <row r="7" spans="1:78" ht="13.5" thickBot="1" x14ac:dyDescent="0.25">
      <c r="A7" s="474" t="s">
        <v>198</v>
      </c>
      <c r="B7" s="471">
        <f>Dash!$C$41</f>
        <v>5</v>
      </c>
      <c r="C7" s="472">
        <f>Dash!D41</f>
        <v>6</v>
      </c>
      <c r="D7" s="472">
        <f>Dash!E41</f>
        <v>5</v>
      </c>
      <c r="E7" s="472">
        <f>Dash!F41</f>
        <v>6</v>
      </c>
      <c r="F7" s="472">
        <f>Dash!G41</f>
        <v>2</v>
      </c>
      <c r="G7" s="472">
        <f>Dash!H41</f>
        <v>4</v>
      </c>
      <c r="H7" s="472">
        <f>Dash!I41</f>
        <v>5</v>
      </c>
      <c r="I7" s="472">
        <f>Dash!J41</f>
        <v>3</v>
      </c>
      <c r="J7" s="472">
        <f>Dash!K41</f>
        <v>4</v>
      </c>
      <c r="K7" s="472">
        <f>Dash!L41</f>
        <v>0</v>
      </c>
      <c r="L7" s="472">
        <f>Dash!M41</f>
        <v>0</v>
      </c>
      <c r="M7" s="506">
        <f>Dash!N41</f>
        <v>0</v>
      </c>
      <c r="N7" s="473">
        <f>Dash!$O$41</f>
        <v>41</v>
      </c>
      <c r="P7" s="809" t="s">
        <v>379</v>
      </c>
      <c r="Q7" s="810"/>
      <c r="AG7" s="532"/>
      <c r="AH7" s="533"/>
      <c r="AI7" s="533"/>
      <c r="AJ7" s="533"/>
      <c r="AK7" s="533"/>
      <c r="AL7" s="533"/>
      <c r="AM7" s="533"/>
      <c r="AN7" s="533"/>
      <c r="AO7" s="533"/>
      <c r="AP7" s="533"/>
      <c r="AQ7" s="533"/>
      <c r="AR7" s="533"/>
      <c r="AS7" s="533"/>
      <c r="AT7" s="533"/>
      <c r="AU7" s="533"/>
      <c r="AV7" s="533"/>
      <c r="AW7" s="533"/>
      <c r="AX7" s="533"/>
      <c r="AY7" s="534"/>
      <c r="BA7" s="662" t="s">
        <v>136</v>
      </c>
      <c r="BB7" s="664">
        <v>1</v>
      </c>
      <c r="BG7" s="499">
        <v>2024</v>
      </c>
      <c r="BH7" s="576"/>
      <c r="BI7" s="525"/>
      <c r="BJ7" s="525"/>
      <c r="BK7" s="525"/>
      <c r="BL7" s="525"/>
      <c r="BM7" s="525"/>
      <c r="BN7" s="525"/>
      <c r="BO7" s="525"/>
      <c r="BP7" s="525"/>
      <c r="BQ7" s="525"/>
      <c r="BR7" s="525"/>
      <c r="BS7" s="525"/>
      <c r="BT7" s="526">
        <f>SUM(BH7:BS7)</f>
        <v>0</v>
      </c>
    </row>
    <row r="8" spans="1:78" ht="13.5" thickBot="1" x14ac:dyDescent="0.25">
      <c r="O8" s="573"/>
      <c r="P8" s="797">
        <v>2025</v>
      </c>
      <c r="Q8" s="799">
        <v>38</v>
      </c>
      <c r="V8" s="573"/>
      <c r="AG8" s="532"/>
      <c r="AH8" s="533"/>
      <c r="AI8" s="533"/>
      <c r="AJ8" s="131" t="s">
        <v>60</v>
      </c>
      <c r="AK8" s="130" t="s">
        <v>59</v>
      </c>
      <c r="AL8" s="130" t="s">
        <v>58</v>
      </c>
      <c r="AM8" s="130" t="s">
        <v>57</v>
      </c>
      <c r="AN8" s="130" t="s">
        <v>56</v>
      </c>
      <c r="AO8" s="130" t="s">
        <v>55</v>
      </c>
      <c r="AP8" s="130" t="s">
        <v>54</v>
      </c>
      <c r="AQ8" s="130" t="s">
        <v>53</v>
      </c>
      <c r="AR8" s="130" t="s">
        <v>52</v>
      </c>
      <c r="AS8" s="130" t="s">
        <v>51</v>
      </c>
      <c r="AT8" s="130" t="s">
        <v>50</v>
      </c>
      <c r="AU8" s="129" t="s">
        <v>49</v>
      </c>
      <c r="AV8" s="540" t="s">
        <v>87</v>
      </c>
      <c r="AW8" s="533"/>
      <c r="AX8" s="533"/>
      <c r="AY8" s="534"/>
      <c r="BA8" s="662" t="s">
        <v>126</v>
      </c>
      <c r="BB8" s="664">
        <v>1</v>
      </c>
      <c r="BG8" s="610">
        <v>2025</v>
      </c>
      <c r="BH8" s="471"/>
      <c r="BI8" s="472"/>
      <c r="BJ8" s="472"/>
      <c r="BK8" s="472"/>
      <c r="BL8" s="472"/>
      <c r="BM8" s="472"/>
      <c r="BN8" s="472"/>
      <c r="BO8" s="472"/>
      <c r="BP8" s="472"/>
      <c r="BQ8" s="472"/>
      <c r="BR8" s="472"/>
      <c r="BS8" s="472"/>
      <c r="BT8" s="526">
        <f>SUM(BH8:BS8)</f>
        <v>0</v>
      </c>
      <c r="BU8" s="562" t="e">
        <f>(BT8-BT7)/BT7</f>
        <v>#DIV/0!</v>
      </c>
    </row>
    <row r="9" spans="1:78" ht="13.5" thickBot="1" x14ac:dyDescent="0.25">
      <c r="A9" s="568" t="s">
        <v>143</v>
      </c>
      <c r="B9" s="567" t="s">
        <v>60</v>
      </c>
      <c r="C9" s="483" t="s">
        <v>59</v>
      </c>
      <c r="D9" s="484" t="s">
        <v>58</v>
      </c>
      <c r="E9" s="484" t="s">
        <v>57</v>
      </c>
      <c r="F9" s="484" t="s">
        <v>56</v>
      </c>
      <c r="G9" s="484" t="s">
        <v>55</v>
      </c>
      <c r="H9" s="484" t="s">
        <v>54</v>
      </c>
      <c r="I9" s="484" t="s">
        <v>53</v>
      </c>
      <c r="J9" s="484" t="s">
        <v>52</v>
      </c>
      <c r="K9" s="484" t="s">
        <v>51</v>
      </c>
      <c r="L9" s="484" t="s">
        <v>50</v>
      </c>
      <c r="M9" s="490" t="s">
        <v>49</v>
      </c>
      <c r="N9" s="474" t="s">
        <v>148</v>
      </c>
      <c r="P9" s="549">
        <v>2026</v>
      </c>
      <c r="Q9" s="802">
        <f>N6</f>
        <v>31</v>
      </c>
      <c r="AG9" s="532"/>
      <c r="AH9" s="828" t="s">
        <v>135</v>
      </c>
      <c r="AI9" s="829"/>
      <c r="AJ9" s="194">
        <v>1</v>
      </c>
      <c r="AK9" s="192"/>
      <c r="AL9" s="192"/>
      <c r="AM9" s="192"/>
      <c r="AN9" s="192"/>
      <c r="AO9" s="192"/>
      <c r="AP9" s="192"/>
      <c r="AQ9" s="192"/>
      <c r="AR9" s="192"/>
      <c r="AS9" s="192"/>
      <c r="AT9" s="192"/>
      <c r="AU9" s="192"/>
      <c r="AV9" s="174">
        <f>SUM(AJ9:AU9)</f>
        <v>1</v>
      </c>
      <c r="AW9" s="533"/>
      <c r="AX9" s="533"/>
      <c r="AY9" s="534"/>
      <c r="BA9" s="662" t="s">
        <v>133</v>
      </c>
      <c r="BB9" s="664"/>
    </row>
    <row r="10" spans="1:78" ht="13.5" thickBot="1" x14ac:dyDescent="0.25">
      <c r="A10" s="754"/>
      <c r="B10" s="755"/>
      <c r="C10" s="755"/>
      <c r="D10" s="755"/>
      <c r="E10" s="755"/>
      <c r="F10" s="755"/>
      <c r="G10" s="755"/>
      <c r="H10" s="755"/>
      <c r="I10" s="755"/>
      <c r="J10" s="755"/>
      <c r="K10" s="755"/>
      <c r="L10" s="755"/>
      <c r="M10" s="755"/>
      <c r="N10" s="756"/>
      <c r="O10" s="574"/>
      <c r="P10" s="574"/>
      <c r="Q10" s="574"/>
      <c r="R10" s="574"/>
      <c r="S10" s="574"/>
      <c r="T10" s="574"/>
      <c r="U10" s="574"/>
      <c r="V10" s="574"/>
      <c r="AG10" s="532"/>
      <c r="AH10" s="820" t="s">
        <v>126</v>
      </c>
      <c r="AI10" s="821"/>
      <c r="AJ10" s="198"/>
      <c r="AK10" s="177"/>
      <c r="AL10" s="177"/>
      <c r="AM10" s="177"/>
      <c r="AN10" s="177"/>
      <c r="AO10" s="177"/>
      <c r="AP10" s="177"/>
      <c r="AQ10" s="177">
        <v>1</v>
      </c>
      <c r="AR10" s="177"/>
      <c r="AS10" s="177"/>
      <c r="AT10" s="177"/>
      <c r="AU10" s="177"/>
      <c r="AV10" s="174">
        <f t="shared" ref="AV10:AV24" si="0">SUM(AJ10:AU10)</f>
        <v>1</v>
      </c>
      <c r="AW10" s="533"/>
      <c r="AX10" s="533"/>
      <c r="AY10" s="534"/>
      <c r="BA10" s="662" t="s">
        <v>131</v>
      </c>
      <c r="BB10" s="664"/>
      <c r="BG10" s="467"/>
      <c r="BH10" s="467"/>
      <c r="BI10" s="467"/>
      <c r="BJ10" s="467"/>
      <c r="BK10" s="467"/>
      <c r="BL10" s="467"/>
      <c r="BM10" s="467"/>
      <c r="BN10" s="467"/>
      <c r="BO10" s="467"/>
      <c r="BP10" s="467"/>
      <c r="BQ10" s="467"/>
      <c r="BR10" s="467"/>
      <c r="BS10" s="467"/>
      <c r="BT10" s="467"/>
      <c r="BU10" s="467"/>
      <c r="BV10" s="467"/>
      <c r="BW10" s="467"/>
      <c r="BX10" s="467"/>
      <c r="BY10" s="467"/>
      <c r="BZ10" s="467"/>
    </row>
    <row r="11" spans="1:78" ht="13.5" thickBot="1" x14ac:dyDescent="0.25">
      <c r="A11" s="569" t="s">
        <v>146</v>
      </c>
      <c r="B11" s="114">
        <v>1</v>
      </c>
      <c r="C11" s="478"/>
      <c r="D11" s="478">
        <v>1</v>
      </c>
      <c r="E11" s="478">
        <v>2</v>
      </c>
      <c r="F11" s="478"/>
      <c r="G11" s="478"/>
      <c r="H11" s="478"/>
      <c r="I11" s="478"/>
      <c r="J11" s="478">
        <v>1</v>
      </c>
      <c r="K11" s="478"/>
      <c r="L11" s="478"/>
      <c r="M11" s="478"/>
      <c r="N11" s="570">
        <f>SUM(B11:M11)</f>
        <v>5</v>
      </c>
      <c r="O11" s="574"/>
      <c r="P11" s="474" t="s">
        <v>396</v>
      </c>
      <c r="Q11" s="474" t="s">
        <v>60</v>
      </c>
      <c r="R11" s="474" t="s">
        <v>59</v>
      </c>
      <c r="S11" s="474" t="s">
        <v>58</v>
      </c>
      <c r="T11" s="474" t="s">
        <v>57</v>
      </c>
      <c r="U11" s="474" t="s">
        <v>56</v>
      </c>
      <c r="V11" s="474" t="s">
        <v>55</v>
      </c>
      <c r="W11" s="474" t="s">
        <v>54</v>
      </c>
      <c r="X11" s="474" t="s">
        <v>53</v>
      </c>
      <c r="Y11" s="474" t="s">
        <v>52</v>
      </c>
      <c r="Z11" s="474" t="s">
        <v>51</v>
      </c>
      <c r="AA11" s="474" t="s">
        <v>50</v>
      </c>
      <c r="AB11" s="474" t="s">
        <v>49</v>
      </c>
      <c r="AC11" s="474" t="s">
        <v>148</v>
      </c>
      <c r="AG11" s="532"/>
      <c r="AH11" s="820" t="s">
        <v>124</v>
      </c>
      <c r="AI11" s="821"/>
      <c r="AJ11" s="197"/>
      <c r="AK11" s="196"/>
      <c r="AL11" s="196"/>
      <c r="AM11" s="196"/>
      <c r="AN11" s="196"/>
      <c r="AO11" s="196"/>
      <c r="AP11" s="196"/>
      <c r="AQ11" s="196"/>
      <c r="AR11" s="196"/>
      <c r="AS11" s="196"/>
      <c r="AT11" s="196"/>
      <c r="AU11" s="196"/>
      <c r="AV11" s="174">
        <f t="shared" si="0"/>
        <v>0</v>
      </c>
      <c r="AW11" s="533"/>
      <c r="AX11" s="533"/>
      <c r="AY11" s="534"/>
      <c r="BA11" s="662" t="s">
        <v>135</v>
      </c>
      <c r="BB11" s="664">
        <v>1</v>
      </c>
      <c r="BG11" s="467"/>
      <c r="BH11" s="467"/>
      <c r="BI11" s="467"/>
      <c r="BJ11" s="467"/>
      <c r="BK11" s="467"/>
      <c r="BL11" s="467"/>
      <c r="BM11" s="467"/>
      <c r="BN11" s="467"/>
      <c r="BO11" s="467"/>
      <c r="BP11" s="467"/>
      <c r="BQ11" s="467"/>
      <c r="BR11" s="467"/>
      <c r="BS11" s="467"/>
      <c r="BT11" s="467"/>
      <c r="BU11" s="467"/>
      <c r="BV11" s="467"/>
      <c r="BW11" s="467"/>
      <c r="BX11" s="467"/>
      <c r="BY11" s="467"/>
      <c r="BZ11" s="467"/>
    </row>
    <row r="12" spans="1:78" ht="13.5" thickBot="1" x14ac:dyDescent="0.25">
      <c r="A12" s="569" t="s">
        <v>249</v>
      </c>
      <c r="B12" s="114"/>
      <c r="C12" s="478"/>
      <c r="D12" s="478"/>
      <c r="E12" s="478"/>
      <c r="F12" s="478"/>
      <c r="G12" s="478"/>
      <c r="H12" s="478"/>
      <c r="I12" s="478">
        <v>1</v>
      </c>
      <c r="J12" s="478"/>
      <c r="K12" s="478"/>
      <c r="L12" s="478"/>
      <c r="M12" s="478"/>
      <c r="N12" s="570">
        <f t="shared" ref="N12:N25" si="1">SUM(B12:M12)</f>
        <v>1</v>
      </c>
      <c r="O12" s="574"/>
      <c r="P12" s="617" t="s">
        <v>397</v>
      </c>
      <c r="Q12" s="125">
        <v>2</v>
      </c>
      <c r="R12" s="487"/>
      <c r="S12" s="487"/>
      <c r="T12" s="487">
        <v>2</v>
      </c>
      <c r="U12" s="487"/>
      <c r="V12" s="487">
        <v>1</v>
      </c>
      <c r="W12" s="487">
        <v>1</v>
      </c>
      <c r="X12" s="487"/>
      <c r="Y12" s="487"/>
      <c r="Z12" s="487"/>
      <c r="AA12" s="487"/>
      <c r="AB12" s="793"/>
      <c r="AC12" s="803">
        <f>SUM(Q12:AB12)</f>
        <v>6</v>
      </c>
      <c r="AG12" s="532"/>
      <c r="AH12" s="820" t="s">
        <v>137</v>
      </c>
      <c r="AI12" s="830"/>
      <c r="AJ12" s="177"/>
      <c r="AK12" s="177"/>
      <c r="AL12" s="177"/>
      <c r="AM12" s="177">
        <v>1</v>
      </c>
      <c r="AN12" s="177"/>
      <c r="AO12" s="177"/>
      <c r="AP12" s="177"/>
      <c r="AQ12" s="177"/>
      <c r="AR12" s="177"/>
      <c r="AS12" s="177"/>
      <c r="AT12" s="177"/>
      <c r="AU12" s="177"/>
      <c r="AV12" s="174">
        <f t="shared" si="0"/>
        <v>1</v>
      </c>
      <c r="AW12" s="533"/>
      <c r="AX12" s="533"/>
      <c r="AY12" s="534"/>
      <c r="BA12" s="662" t="s">
        <v>124</v>
      </c>
      <c r="BB12" s="664">
        <v>0</v>
      </c>
      <c r="BG12" s="467"/>
      <c r="BH12" s="467"/>
      <c r="BI12" s="467"/>
      <c r="BJ12" s="467"/>
      <c r="BK12" s="467"/>
      <c r="BL12" s="467"/>
      <c r="BM12" s="467"/>
      <c r="BN12" s="467"/>
      <c r="BO12" s="467"/>
      <c r="BP12" s="467"/>
      <c r="BQ12" s="467"/>
      <c r="BR12" s="467"/>
      <c r="BS12" s="467"/>
      <c r="BT12" s="467"/>
      <c r="BU12" s="467"/>
      <c r="BV12" s="467"/>
      <c r="BW12" s="467"/>
      <c r="BX12" s="467"/>
      <c r="BY12" s="467"/>
      <c r="BZ12" s="467"/>
    </row>
    <row r="13" spans="1:78" ht="13.5" thickBot="1" x14ac:dyDescent="0.25">
      <c r="A13" s="563" t="s">
        <v>239</v>
      </c>
      <c r="B13" s="114"/>
      <c r="C13" s="479"/>
      <c r="D13" s="478"/>
      <c r="E13" s="478"/>
      <c r="F13" s="478"/>
      <c r="G13" s="478"/>
      <c r="H13" s="478"/>
      <c r="I13" s="478"/>
      <c r="J13" s="478"/>
      <c r="K13" s="478"/>
      <c r="L13" s="478"/>
      <c r="M13" s="478"/>
      <c r="N13" s="570">
        <f t="shared" si="1"/>
        <v>0</v>
      </c>
      <c r="O13" s="574"/>
      <c r="P13" s="618" t="s">
        <v>398</v>
      </c>
      <c r="Q13" s="114"/>
      <c r="R13" s="478"/>
      <c r="S13" s="478"/>
      <c r="T13" s="478">
        <v>5</v>
      </c>
      <c r="U13" s="478"/>
      <c r="V13" s="478">
        <v>1</v>
      </c>
      <c r="W13" s="478">
        <v>2</v>
      </c>
      <c r="X13" s="478"/>
      <c r="Y13" s="478"/>
      <c r="Z13" s="478"/>
      <c r="AA13" s="478"/>
      <c r="AB13" s="794"/>
      <c r="AC13" s="804">
        <f t="shared" ref="AC13:AC18" si="2">SUM(Q13:AB13)</f>
        <v>8</v>
      </c>
      <c r="AG13" s="532"/>
      <c r="AH13" s="820" t="s">
        <v>136</v>
      </c>
      <c r="AI13" s="821"/>
      <c r="AJ13" s="194"/>
      <c r="AK13" s="192"/>
      <c r="AL13" s="192"/>
      <c r="AM13" s="192">
        <v>1</v>
      </c>
      <c r="AN13" s="192"/>
      <c r="AO13" s="192"/>
      <c r="AP13" s="192"/>
      <c r="AQ13" s="192"/>
      <c r="AR13" s="192"/>
      <c r="AS13" s="192"/>
      <c r="AT13" s="192"/>
      <c r="AU13" s="192"/>
      <c r="AV13" s="174">
        <f t="shared" si="0"/>
        <v>1</v>
      </c>
      <c r="AW13" s="533"/>
      <c r="AX13" s="533"/>
      <c r="AY13" s="534"/>
      <c r="BA13" s="663" t="s">
        <v>130</v>
      </c>
      <c r="BB13" s="664">
        <v>1</v>
      </c>
      <c r="BG13" s="467"/>
      <c r="BH13" s="467"/>
      <c r="BI13" s="467"/>
      <c r="BJ13" s="467"/>
      <c r="BK13" s="467"/>
      <c r="BL13" s="467"/>
      <c r="BM13" s="467"/>
      <c r="BN13" s="467"/>
      <c r="BO13" s="467"/>
      <c r="BP13" s="467"/>
      <c r="BQ13" s="467"/>
      <c r="BR13" s="467"/>
      <c r="BS13" s="467"/>
      <c r="BT13" s="467"/>
      <c r="BU13" s="467"/>
      <c r="BV13" s="467"/>
      <c r="BW13" s="467"/>
      <c r="BX13" s="467"/>
      <c r="BY13" s="467"/>
      <c r="BZ13" s="467"/>
    </row>
    <row r="14" spans="1:78" ht="13.5" thickBot="1" x14ac:dyDescent="0.25">
      <c r="A14" s="563" t="s">
        <v>144</v>
      </c>
      <c r="B14" s="114"/>
      <c r="C14" s="479"/>
      <c r="D14" s="478"/>
      <c r="E14" s="478"/>
      <c r="F14" s="478"/>
      <c r="G14" s="478"/>
      <c r="H14" s="478"/>
      <c r="I14" s="478"/>
      <c r="J14" s="478"/>
      <c r="K14" s="478"/>
      <c r="L14" s="478"/>
      <c r="M14" s="478"/>
      <c r="N14" s="570">
        <f t="shared" si="1"/>
        <v>0</v>
      </c>
      <c r="O14" s="574"/>
      <c r="P14" s="618" t="s">
        <v>130</v>
      </c>
      <c r="Q14" s="114">
        <v>1</v>
      </c>
      <c r="R14" s="478"/>
      <c r="S14" s="478"/>
      <c r="T14" s="478">
        <v>1</v>
      </c>
      <c r="U14" s="478">
        <v>1</v>
      </c>
      <c r="V14" s="478"/>
      <c r="W14" s="478"/>
      <c r="X14" s="478">
        <v>3</v>
      </c>
      <c r="Y14" s="478"/>
      <c r="Z14" s="478"/>
      <c r="AA14" s="478"/>
      <c r="AB14" s="794"/>
      <c r="AC14" s="804">
        <f t="shared" si="2"/>
        <v>6</v>
      </c>
      <c r="AG14" s="532"/>
      <c r="AH14" s="820" t="s">
        <v>130</v>
      </c>
      <c r="AI14" s="821"/>
      <c r="AJ14" s="198"/>
      <c r="AK14" s="177"/>
      <c r="AL14" s="177">
        <v>1</v>
      </c>
      <c r="AM14" s="177"/>
      <c r="AN14" s="177"/>
      <c r="AO14" s="177"/>
      <c r="AP14" s="177"/>
      <c r="AQ14" s="177"/>
      <c r="AR14" s="177"/>
      <c r="AS14" s="177"/>
      <c r="AT14" s="177"/>
      <c r="AU14" s="177"/>
      <c r="AV14" s="174">
        <f t="shared" si="0"/>
        <v>1</v>
      </c>
      <c r="AW14" s="533"/>
      <c r="AX14" s="533"/>
      <c r="AY14" s="534"/>
      <c r="BA14" s="662" t="s">
        <v>128</v>
      </c>
      <c r="BB14" s="664">
        <v>0</v>
      </c>
      <c r="BG14" s="467"/>
      <c r="BH14" s="467"/>
      <c r="BI14" s="467"/>
      <c r="BJ14" s="467"/>
      <c r="BK14" s="467"/>
      <c r="BL14" s="467"/>
      <c r="BM14" s="467"/>
      <c r="BN14" s="467"/>
      <c r="BO14" s="467"/>
      <c r="BP14" s="467"/>
      <c r="BQ14" s="467"/>
      <c r="BR14" s="467"/>
      <c r="BS14" s="467"/>
      <c r="BT14" s="467"/>
      <c r="BU14" s="467"/>
      <c r="BV14" s="467"/>
      <c r="BW14" s="467"/>
      <c r="BX14" s="467"/>
      <c r="BY14" s="467"/>
      <c r="BZ14" s="467"/>
    </row>
    <row r="15" spans="1:78" ht="13.5" thickBot="1" x14ac:dyDescent="0.25">
      <c r="A15" s="563" t="s">
        <v>145</v>
      </c>
      <c r="B15" s="114"/>
      <c r="C15" s="479"/>
      <c r="D15" s="478"/>
      <c r="E15" s="478"/>
      <c r="F15" s="478"/>
      <c r="G15" s="478"/>
      <c r="H15" s="478"/>
      <c r="I15" s="478"/>
      <c r="J15" s="478"/>
      <c r="K15" s="478"/>
      <c r="L15" s="478"/>
      <c r="M15" s="478"/>
      <c r="N15" s="570">
        <f t="shared" si="1"/>
        <v>0</v>
      </c>
      <c r="O15" s="574"/>
      <c r="P15" s="618" t="s">
        <v>221</v>
      </c>
      <c r="Q15" s="114"/>
      <c r="R15" s="478"/>
      <c r="S15" s="478"/>
      <c r="T15" s="478">
        <v>1</v>
      </c>
      <c r="U15" s="478">
        <v>1</v>
      </c>
      <c r="V15" s="478">
        <v>2</v>
      </c>
      <c r="W15" s="478"/>
      <c r="X15" s="478">
        <v>2</v>
      </c>
      <c r="Y15" s="478"/>
      <c r="Z15" s="478"/>
      <c r="AA15" s="478"/>
      <c r="AB15" s="794"/>
      <c r="AC15" s="804">
        <f t="shared" si="2"/>
        <v>6</v>
      </c>
      <c r="AG15" s="532"/>
      <c r="AH15" s="820" t="s">
        <v>128</v>
      </c>
      <c r="AI15" s="821"/>
      <c r="AJ15" s="189"/>
      <c r="AK15" s="175"/>
      <c r="AL15" s="175"/>
      <c r="AM15" s="175"/>
      <c r="AN15" s="175"/>
      <c r="AO15" s="175"/>
      <c r="AP15" s="175"/>
      <c r="AQ15" s="175"/>
      <c r="AR15" s="175"/>
      <c r="AS15" s="175"/>
      <c r="AT15" s="175"/>
      <c r="AU15" s="175"/>
      <c r="AV15" s="174">
        <f t="shared" si="0"/>
        <v>0</v>
      </c>
      <c r="AW15" s="533"/>
      <c r="AX15" s="533"/>
      <c r="AY15" s="534"/>
      <c r="BA15" s="662" t="s">
        <v>132</v>
      </c>
      <c r="BB15" s="664">
        <v>0</v>
      </c>
      <c r="BG15" s="467"/>
      <c r="BH15" s="467"/>
      <c r="BI15" s="467"/>
      <c r="BJ15" s="467"/>
      <c r="BK15" s="467"/>
      <c r="BL15" s="467"/>
      <c r="BM15" s="467"/>
      <c r="BN15" s="467"/>
      <c r="BO15" s="467"/>
      <c r="BP15" s="467"/>
      <c r="BQ15" s="467"/>
      <c r="BR15" s="467"/>
      <c r="BS15" s="467"/>
      <c r="BT15" s="467"/>
      <c r="BU15" s="467"/>
      <c r="BV15" s="467"/>
      <c r="BW15" s="467"/>
      <c r="BX15" s="467"/>
      <c r="BY15" s="467"/>
      <c r="BZ15" s="467"/>
    </row>
    <row r="16" spans="1:78" ht="13.5" thickBot="1" x14ac:dyDescent="0.25">
      <c r="A16" s="569" t="s">
        <v>250</v>
      </c>
      <c r="B16" s="114"/>
      <c r="C16" s="479"/>
      <c r="D16" s="478"/>
      <c r="E16" s="478"/>
      <c r="F16" s="478"/>
      <c r="G16" s="478"/>
      <c r="H16" s="478"/>
      <c r="I16" s="478"/>
      <c r="J16" s="478"/>
      <c r="K16" s="478"/>
      <c r="L16" s="478"/>
      <c r="M16" s="478"/>
      <c r="N16" s="570">
        <f t="shared" si="1"/>
        <v>0</v>
      </c>
      <c r="O16" s="574"/>
      <c r="P16" s="618" t="s">
        <v>306</v>
      </c>
      <c r="Q16" s="114">
        <v>1</v>
      </c>
      <c r="R16" s="478"/>
      <c r="S16" s="478"/>
      <c r="T16" s="478">
        <v>1</v>
      </c>
      <c r="U16" s="478"/>
      <c r="V16" s="478">
        <v>2</v>
      </c>
      <c r="W16" s="478"/>
      <c r="X16" s="478"/>
      <c r="Y16" s="478"/>
      <c r="Z16" s="478"/>
      <c r="AA16" s="478"/>
      <c r="AB16" s="794"/>
      <c r="AC16" s="804">
        <f t="shared" si="2"/>
        <v>4</v>
      </c>
      <c r="AG16" s="532"/>
      <c r="AH16" s="820" t="s">
        <v>132</v>
      </c>
      <c r="AI16" s="821"/>
      <c r="AJ16" s="198"/>
      <c r="AK16" s="177"/>
      <c r="AL16" s="177"/>
      <c r="AM16" s="177"/>
      <c r="AN16" s="177"/>
      <c r="AO16" s="177"/>
      <c r="AP16" s="177"/>
      <c r="AQ16" s="177"/>
      <c r="AR16" s="177"/>
      <c r="AS16" s="177"/>
      <c r="AT16" s="177"/>
      <c r="AU16" s="177"/>
      <c r="AV16" s="174">
        <f t="shared" si="0"/>
        <v>0</v>
      </c>
      <c r="AW16" s="533"/>
      <c r="AX16" s="533"/>
      <c r="AY16" s="534"/>
      <c r="BA16" s="662" t="s">
        <v>134</v>
      </c>
      <c r="BB16" s="664">
        <v>0</v>
      </c>
      <c r="BG16" s="467"/>
      <c r="BH16" s="467"/>
      <c r="BI16" s="467"/>
      <c r="BJ16" s="467"/>
      <c r="BK16" s="467"/>
      <c r="BL16" s="467"/>
      <c r="BM16" s="467"/>
      <c r="BN16" s="467"/>
      <c r="BO16" s="467"/>
      <c r="BP16" s="467"/>
      <c r="BQ16" s="467"/>
      <c r="BR16" s="467"/>
      <c r="BS16" s="467"/>
      <c r="BT16" s="467"/>
      <c r="BU16" s="467"/>
      <c r="BV16" s="467"/>
      <c r="BW16" s="467"/>
      <c r="BX16" s="467"/>
      <c r="BY16" s="467"/>
      <c r="BZ16" s="467"/>
    </row>
    <row r="17" spans="1:78" ht="13.5" thickBot="1" x14ac:dyDescent="0.25">
      <c r="A17" s="563" t="s">
        <v>314</v>
      </c>
      <c r="B17" s="114">
        <v>1</v>
      </c>
      <c r="C17" s="478">
        <v>2</v>
      </c>
      <c r="D17" s="478">
        <v>2</v>
      </c>
      <c r="E17" s="478">
        <v>1</v>
      </c>
      <c r="F17" s="478"/>
      <c r="G17" s="478">
        <v>2</v>
      </c>
      <c r="H17" s="478">
        <v>3</v>
      </c>
      <c r="I17" s="478">
        <v>2</v>
      </c>
      <c r="J17" s="478">
        <v>1</v>
      </c>
      <c r="K17" s="478"/>
      <c r="L17" s="478"/>
      <c r="M17" s="478"/>
      <c r="N17" s="570">
        <f t="shared" si="1"/>
        <v>14</v>
      </c>
      <c r="O17" s="574"/>
      <c r="P17" s="618" t="s">
        <v>403</v>
      </c>
      <c r="Q17" s="114"/>
      <c r="R17" s="478"/>
      <c r="S17" s="478"/>
      <c r="T17" s="478">
        <v>1</v>
      </c>
      <c r="U17" s="478"/>
      <c r="V17" s="478"/>
      <c r="W17" s="478"/>
      <c r="X17" s="478">
        <v>3</v>
      </c>
      <c r="Y17" s="478">
        <v>1</v>
      </c>
      <c r="Z17" s="478"/>
      <c r="AA17" s="478"/>
      <c r="AB17" s="794"/>
      <c r="AC17" s="804">
        <f t="shared" si="2"/>
        <v>5</v>
      </c>
      <c r="AG17" s="532"/>
      <c r="AH17" s="820" t="s">
        <v>134</v>
      </c>
      <c r="AI17" s="821"/>
      <c r="AJ17" s="197"/>
      <c r="AK17" s="196"/>
      <c r="AL17" s="196"/>
      <c r="AM17" s="196"/>
      <c r="AN17" s="196"/>
      <c r="AO17" s="196"/>
      <c r="AP17" s="196"/>
      <c r="AQ17" s="196"/>
      <c r="AR17" s="196"/>
      <c r="AS17" s="196"/>
      <c r="AT17" s="196"/>
      <c r="AU17" s="196"/>
      <c r="AV17" s="174">
        <f t="shared" si="0"/>
        <v>0</v>
      </c>
      <c r="AW17" s="533"/>
      <c r="AX17" s="533"/>
      <c r="AY17" s="534"/>
      <c r="BA17" s="662" t="s">
        <v>129</v>
      </c>
      <c r="BB17" s="664">
        <v>0</v>
      </c>
      <c r="BG17" s="467"/>
      <c r="BH17" s="467"/>
      <c r="BI17" s="467"/>
      <c r="BJ17" s="467"/>
      <c r="BK17" s="467"/>
      <c r="BL17" s="467"/>
      <c r="BM17" s="467"/>
      <c r="BN17" s="467"/>
      <c r="BO17" s="467"/>
      <c r="BP17" s="467"/>
      <c r="BQ17" s="467"/>
      <c r="BR17" s="467"/>
      <c r="BS17" s="467"/>
      <c r="BT17" s="467"/>
      <c r="BU17" s="467"/>
      <c r="BV17" s="467"/>
      <c r="BW17" s="467"/>
      <c r="BX17" s="467"/>
      <c r="BY17" s="467"/>
      <c r="BZ17" s="467"/>
    </row>
    <row r="18" spans="1:78" ht="13.5" thickBot="1" x14ac:dyDescent="0.25">
      <c r="A18" s="563" t="s">
        <v>221</v>
      </c>
      <c r="B18" s="565"/>
      <c r="C18" s="478"/>
      <c r="D18" s="478">
        <v>1</v>
      </c>
      <c r="E18" s="478"/>
      <c r="F18" s="478"/>
      <c r="G18" s="478"/>
      <c r="H18" s="478"/>
      <c r="I18" s="478"/>
      <c r="J18" s="478"/>
      <c r="K18" s="478"/>
      <c r="L18" s="478"/>
      <c r="M18" s="478"/>
      <c r="N18" s="570">
        <f t="shared" si="1"/>
        <v>1</v>
      </c>
      <c r="O18" s="572"/>
      <c r="P18" s="620" t="s">
        <v>399</v>
      </c>
      <c r="Q18" s="795">
        <v>1</v>
      </c>
      <c r="R18" s="481"/>
      <c r="S18" s="481"/>
      <c r="T18" s="481"/>
      <c r="U18" s="481"/>
      <c r="V18" s="481">
        <v>2</v>
      </c>
      <c r="W18" s="481"/>
      <c r="X18" s="481"/>
      <c r="Y18" s="481"/>
      <c r="Z18" s="481"/>
      <c r="AA18" s="481"/>
      <c r="AB18" s="796"/>
      <c r="AC18" s="805">
        <f t="shared" si="2"/>
        <v>3</v>
      </c>
      <c r="AG18" s="532"/>
      <c r="AH18" s="820" t="s">
        <v>133</v>
      </c>
      <c r="AI18" s="821"/>
      <c r="AJ18" s="198"/>
      <c r="AK18" s="195"/>
      <c r="AL18" s="195"/>
      <c r="AM18" s="195"/>
      <c r="AN18" s="195"/>
      <c r="AO18" s="195"/>
      <c r="AP18" s="195"/>
      <c r="AQ18" s="195"/>
      <c r="AR18" s="195"/>
      <c r="AS18" s="177"/>
      <c r="AT18" s="195"/>
      <c r="AU18" s="177"/>
      <c r="AV18" s="174">
        <f t="shared" si="0"/>
        <v>0</v>
      </c>
      <c r="AW18" s="533"/>
      <c r="AX18" s="533"/>
      <c r="AY18" s="534"/>
      <c r="BA18" s="662" t="s">
        <v>127</v>
      </c>
      <c r="BB18" s="665">
        <v>0</v>
      </c>
      <c r="BG18" s="467"/>
      <c r="BH18" s="467"/>
      <c r="BI18" s="467"/>
      <c r="BJ18" s="467"/>
      <c r="BK18" s="467"/>
      <c r="BL18" s="467"/>
      <c r="BM18" s="467"/>
      <c r="BN18" s="467"/>
      <c r="BO18" s="467"/>
      <c r="BP18" s="467"/>
      <c r="BQ18" s="467"/>
      <c r="BR18" s="467"/>
      <c r="BS18" s="467"/>
      <c r="BT18" s="467"/>
      <c r="BU18" s="467"/>
      <c r="BV18" s="467"/>
      <c r="BW18" s="467"/>
      <c r="BX18" s="467"/>
      <c r="BY18" s="467"/>
      <c r="BZ18" s="467"/>
    </row>
    <row r="19" spans="1:78" ht="13.5" thickBot="1" x14ac:dyDescent="0.25">
      <c r="A19" s="563" t="s">
        <v>376</v>
      </c>
      <c r="B19" s="565">
        <v>1</v>
      </c>
      <c r="C19" s="478">
        <v>2</v>
      </c>
      <c r="D19" s="478"/>
      <c r="E19" s="478"/>
      <c r="F19" s="478">
        <v>1</v>
      </c>
      <c r="G19" s="478"/>
      <c r="H19" s="478"/>
      <c r="I19" s="478"/>
      <c r="J19" s="478"/>
      <c r="K19" s="478"/>
      <c r="L19" s="478"/>
      <c r="M19" s="478"/>
      <c r="N19" s="570">
        <f t="shared" si="1"/>
        <v>4</v>
      </c>
      <c r="O19" s="572"/>
      <c r="P19" s="572"/>
      <c r="Q19" s="572"/>
      <c r="R19" s="572"/>
      <c r="S19" s="572"/>
      <c r="T19" s="572"/>
      <c r="U19" s="572"/>
      <c r="V19" s="572"/>
      <c r="AG19" s="532"/>
      <c r="AH19" s="761"/>
      <c r="AI19" s="762"/>
      <c r="AJ19" s="191"/>
      <c r="AK19" s="764"/>
      <c r="AL19" s="764"/>
      <c r="AM19" s="764"/>
      <c r="AN19" s="764"/>
      <c r="AO19" s="764"/>
      <c r="AP19" s="764"/>
      <c r="AQ19" s="764"/>
      <c r="AR19" s="764"/>
      <c r="AS19" s="190"/>
      <c r="AT19" s="764"/>
      <c r="AU19" s="190"/>
      <c r="AV19" s="174"/>
      <c r="AW19" s="533"/>
      <c r="AX19" s="533"/>
      <c r="AY19" s="534"/>
      <c r="BA19" s="662"/>
      <c r="BB19" s="665"/>
      <c r="BG19" s="467"/>
      <c r="BH19" s="467"/>
      <c r="BI19" s="467"/>
      <c r="BJ19" s="467"/>
      <c r="BK19" s="467"/>
      <c r="BL19" s="467"/>
      <c r="BM19" s="467"/>
      <c r="BN19" s="467"/>
      <c r="BO19" s="467"/>
      <c r="BP19" s="467"/>
      <c r="BQ19" s="467"/>
      <c r="BR19" s="467"/>
      <c r="BS19" s="467"/>
      <c r="BT19" s="467"/>
      <c r="BU19" s="467"/>
      <c r="BV19" s="467"/>
      <c r="BW19" s="467"/>
      <c r="BX19" s="467"/>
      <c r="BY19" s="467"/>
      <c r="BZ19" s="467"/>
    </row>
    <row r="20" spans="1:78" ht="13.5" thickBot="1" x14ac:dyDescent="0.25">
      <c r="A20" s="563" t="s">
        <v>251</v>
      </c>
      <c r="B20" s="565"/>
      <c r="C20" s="478">
        <v>1</v>
      </c>
      <c r="D20" s="478"/>
      <c r="E20" s="478">
        <v>3</v>
      </c>
      <c r="F20" s="478">
        <v>1</v>
      </c>
      <c r="G20" s="478">
        <v>2</v>
      </c>
      <c r="H20" s="478">
        <v>1</v>
      </c>
      <c r="I20" s="478"/>
      <c r="J20" s="478">
        <v>1</v>
      </c>
      <c r="K20" s="478"/>
      <c r="L20" s="478"/>
      <c r="M20" s="478"/>
      <c r="N20" s="570">
        <f t="shared" si="1"/>
        <v>9</v>
      </c>
      <c r="O20" s="572"/>
      <c r="P20" s="572"/>
      <c r="Q20" s="572"/>
      <c r="R20" s="572"/>
      <c r="S20" s="572"/>
      <c r="T20" s="572"/>
      <c r="U20" s="572"/>
      <c r="V20" s="572"/>
      <c r="AG20" s="532"/>
      <c r="AH20" s="820" t="s">
        <v>131</v>
      </c>
      <c r="AI20" s="821"/>
      <c r="AJ20" s="194"/>
      <c r="AK20" s="193"/>
      <c r="AL20" s="193"/>
      <c r="AM20" s="193"/>
      <c r="AN20" s="193"/>
      <c r="AO20" s="193"/>
      <c r="AP20" s="193"/>
      <c r="AQ20" s="193"/>
      <c r="AR20" s="193"/>
      <c r="AS20" s="192"/>
      <c r="AT20" s="193"/>
      <c r="AU20" s="192"/>
      <c r="AV20" s="174">
        <f t="shared" si="0"/>
        <v>0</v>
      </c>
      <c r="AW20" s="533"/>
      <c r="AX20" s="533"/>
      <c r="AY20" s="534"/>
      <c r="BA20" s="662" t="s">
        <v>125</v>
      </c>
      <c r="BB20" s="665">
        <v>1</v>
      </c>
      <c r="BG20" s="467"/>
      <c r="BH20" s="467"/>
      <c r="BI20" s="467"/>
      <c r="BJ20" s="467"/>
      <c r="BK20" s="467"/>
      <c r="BL20" s="467"/>
      <c r="BM20" s="467"/>
      <c r="BN20" s="467"/>
      <c r="BO20" s="467"/>
      <c r="BP20" s="467"/>
      <c r="BQ20" s="467"/>
      <c r="BR20" s="467"/>
      <c r="BS20" s="467"/>
      <c r="BT20" s="467"/>
      <c r="BU20" s="467"/>
      <c r="BV20" s="467"/>
      <c r="BW20" s="467"/>
      <c r="BX20" s="467"/>
      <c r="BY20" s="467"/>
      <c r="BZ20" s="467"/>
    </row>
    <row r="21" spans="1:78" ht="13.5" thickBot="1" x14ac:dyDescent="0.25">
      <c r="A21" s="563" t="s">
        <v>147</v>
      </c>
      <c r="B21" s="565">
        <v>1</v>
      </c>
      <c r="C21" s="478">
        <v>1</v>
      </c>
      <c r="D21" s="478"/>
      <c r="E21" s="478"/>
      <c r="F21" s="478">
        <v>2</v>
      </c>
      <c r="G21" s="478"/>
      <c r="H21" s="478">
        <v>2</v>
      </c>
      <c r="I21" s="478"/>
      <c r="J21" s="478"/>
      <c r="K21" s="478"/>
      <c r="L21" s="478"/>
      <c r="M21" s="478"/>
      <c r="N21" s="570">
        <f t="shared" si="1"/>
        <v>6</v>
      </c>
      <c r="O21" s="572"/>
      <c r="P21" s="474" t="s">
        <v>396</v>
      </c>
      <c r="Q21" s="568" t="s">
        <v>148</v>
      </c>
      <c r="R21" s="572"/>
      <c r="S21" s="572"/>
      <c r="T21" s="572"/>
      <c r="U21" s="572"/>
      <c r="V21" s="572"/>
      <c r="W21" s="574"/>
      <c r="AG21" s="532"/>
      <c r="AH21" s="820" t="s">
        <v>129</v>
      </c>
      <c r="AI21" s="821"/>
      <c r="AJ21" s="191"/>
      <c r="AK21" s="190"/>
      <c r="AL21" s="190"/>
      <c r="AM21" s="190"/>
      <c r="AN21" s="190"/>
      <c r="AO21" s="190"/>
      <c r="AP21" s="190"/>
      <c r="AQ21" s="190"/>
      <c r="AR21" s="190"/>
      <c r="AS21" s="190"/>
      <c r="AT21" s="190"/>
      <c r="AU21" s="190"/>
      <c r="AV21" s="174">
        <f t="shared" si="0"/>
        <v>0</v>
      </c>
      <c r="AW21" s="533"/>
      <c r="AX21" s="533"/>
      <c r="AY21" s="534"/>
      <c r="BF21" s="178">
        <f>SUM(N11:N20)</f>
        <v>34</v>
      </c>
      <c r="BG21" s="467"/>
      <c r="BH21" s="467"/>
      <c r="BI21" s="467"/>
      <c r="BJ21" s="467"/>
      <c r="BK21" s="467"/>
      <c r="BL21" s="467"/>
      <c r="BM21" s="467"/>
      <c r="BN21" s="467"/>
      <c r="BO21" s="467"/>
      <c r="BP21" s="467"/>
      <c r="BQ21" s="467"/>
      <c r="BR21" s="467"/>
      <c r="BS21" s="467"/>
      <c r="BT21" s="467"/>
      <c r="BU21" s="467"/>
      <c r="BV21" s="467"/>
      <c r="BW21" s="467"/>
      <c r="BX21" s="467"/>
      <c r="BY21" s="467"/>
      <c r="BZ21" s="467"/>
    </row>
    <row r="22" spans="1:78" ht="13.5" thickBot="1" x14ac:dyDescent="0.25">
      <c r="A22" s="563" t="s">
        <v>391</v>
      </c>
      <c r="B22" s="565">
        <v>0</v>
      </c>
      <c r="C22" s="478"/>
      <c r="D22" s="478">
        <v>1</v>
      </c>
      <c r="E22" s="478">
        <v>4</v>
      </c>
      <c r="F22" s="478"/>
      <c r="G22" s="478">
        <v>2</v>
      </c>
      <c r="H22" s="478"/>
      <c r="I22" s="478"/>
      <c r="J22" s="478">
        <v>1</v>
      </c>
      <c r="K22" s="478"/>
      <c r="L22" s="478"/>
      <c r="M22" s="478"/>
      <c r="N22" s="570">
        <f t="shared" si="1"/>
        <v>8</v>
      </c>
      <c r="O22" s="572"/>
      <c r="P22" s="617" t="s">
        <v>398</v>
      </c>
      <c r="Q22" s="808">
        <v>8</v>
      </c>
      <c r="R22" s="572"/>
      <c r="S22" s="572"/>
      <c r="T22" s="572"/>
      <c r="U22" s="572"/>
      <c r="V22" s="572"/>
      <c r="AG22" s="532"/>
      <c r="AH22" s="820" t="s">
        <v>127</v>
      </c>
      <c r="AI22" s="821"/>
      <c r="AJ22" s="189"/>
      <c r="AK22" s="175"/>
      <c r="AL22" s="175"/>
      <c r="AM22" s="175"/>
      <c r="AN22" s="175"/>
      <c r="AO22" s="175"/>
      <c r="AP22" s="175"/>
      <c r="AQ22" s="175"/>
      <c r="AR22" s="175"/>
      <c r="AS22" s="175"/>
      <c r="AT22" s="175"/>
      <c r="AU22" s="175"/>
      <c r="AV22" s="174">
        <f t="shared" si="0"/>
        <v>0</v>
      </c>
      <c r="AW22" s="533"/>
      <c r="AX22" s="533"/>
      <c r="AY22" s="534"/>
      <c r="BG22" s="467"/>
      <c r="BH22" s="467"/>
      <c r="BI22" s="467"/>
      <c r="BJ22" s="467"/>
      <c r="BK22" s="467"/>
      <c r="BL22" s="467"/>
      <c r="BM22" s="467"/>
      <c r="BN22" s="467"/>
      <c r="BO22" s="467"/>
      <c r="BP22" s="467"/>
      <c r="BQ22" s="467"/>
      <c r="BR22" s="467"/>
      <c r="BS22" s="467"/>
      <c r="BT22" s="467"/>
      <c r="BU22" s="467"/>
      <c r="BV22" s="467"/>
      <c r="BW22" s="467"/>
      <c r="BX22" s="467"/>
      <c r="BY22" s="467"/>
      <c r="BZ22" s="467"/>
    </row>
    <row r="23" spans="1:78" ht="13.5" thickBot="1" x14ac:dyDescent="0.25">
      <c r="A23" s="563" t="s">
        <v>390</v>
      </c>
      <c r="B23" s="565">
        <v>1</v>
      </c>
      <c r="C23" s="478">
        <v>1</v>
      </c>
      <c r="D23" s="478"/>
      <c r="E23" s="478"/>
      <c r="F23" s="478">
        <v>1</v>
      </c>
      <c r="G23" s="478"/>
      <c r="H23" s="478"/>
      <c r="I23" s="478"/>
      <c r="J23" s="478">
        <v>1</v>
      </c>
      <c r="K23" s="478"/>
      <c r="L23" s="478"/>
      <c r="M23" s="478"/>
      <c r="N23" s="570">
        <f>SUM(B23:M23)</f>
        <v>4</v>
      </c>
      <c r="O23" s="572"/>
      <c r="P23" s="618" t="s">
        <v>397</v>
      </c>
      <c r="Q23" s="813">
        <v>6</v>
      </c>
      <c r="AG23" s="532"/>
      <c r="AH23" s="769"/>
      <c r="AI23" s="770"/>
      <c r="AJ23" s="197"/>
      <c r="AK23" s="196"/>
      <c r="AL23" s="196"/>
      <c r="AM23" s="196"/>
      <c r="AN23" s="196"/>
      <c r="AO23" s="196"/>
      <c r="AP23" s="196"/>
      <c r="AQ23" s="196"/>
      <c r="AR23" s="196"/>
      <c r="AS23" s="196"/>
      <c r="AT23" s="196"/>
      <c r="AU23" s="196"/>
      <c r="AV23" s="174"/>
      <c r="AW23" s="533"/>
      <c r="AX23" s="533"/>
      <c r="AY23" s="534"/>
      <c r="BG23" s="467"/>
      <c r="BH23" s="467"/>
      <c r="BI23" s="467"/>
      <c r="BJ23" s="467"/>
      <c r="BK23" s="467"/>
      <c r="BL23" s="467"/>
      <c r="BM23" s="467"/>
      <c r="BN23" s="467"/>
      <c r="BO23" s="467"/>
      <c r="BP23" s="467"/>
      <c r="BQ23" s="467"/>
      <c r="BR23" s="467"/>
      <c r="BS23" s="467"/>
      <c r="BT23" s="467"/>
      <c r="BU23" s="467"/>
      <c r="BV23" s="467"/>
      <c r="BW23" s="467"/>
      <c r="BX23" s="467"/>
      <c r="BY23" s="467"/>
      <c r="BZ23" s="467"/>
    </row>
    <row r="24" spans="1:78" x14ac:dyDescent="0.2">
      <c r="A24" s="563" t="s">
        <v>253</v>
      </c>
      <c r="B24" s="565"/>
      <c r="C24" s="478"/>
      <c r="D24" s="478"/>
      <c r="E24" s="478"/>
      <c r="F24" s="478"/>
      <c r="G24" s="478"/>
      <c r="H24" s="478"/>
      <c r="I24" s="478"/>
      <c r="J24" s="478"/>
      <c r="K24" s="478"/>
      <c r="L24" s="478"/>
      <c r="M24" s="478"/>
      <c r="N24" s="570">
        <f t="shared" si="1"/>
        <v>0</v>
      </c>
      <c r="O24" s="572"/>
      <c r="P24" s="618" t="s">
        <v>130</v>
      </c>
      <c r="Q24" s="807">
        <v>6</v>
      </c>
      <c r="AG24" s="532"/>
      <c r="AH24" s="826" t="s">
        <v>125</v>
      </c>
      <c r="AI24" s="827"/>
      <c r="AJ24" s="188"/>
      <c r="AK24" s="187"/>
      <c r="AL24" s="186"/>
      <c r="AM24" s="186"/>
      <c r="AN24" s="186"/>
      <c r="AO24" s="186"/>
      <c r="AP24" s="186"/>
      <c r="AQ24" s="186"/>
      <c r="AR24" s="186">
        <v>1</v>
      </c>
      <c r="AS24" s="186"/>
      <c r="AT24" s="186"/>
      <c r="AU24" s="186"/>
      <c r="AV24" s="174">
        <f t="shared" si="0"/>
        <v>1</v>
      </c>
      <c r="AW24" s="533"/>
      <c r="AX24" s="533"/>
      <c r="AY24" s="534"/>
      <c r="BG24" s="467"/>
      <c r="BH24" s="467"/>
      <c r="BI24" s="467"/>
      <c r="BJ24" s="467"/>
      <c r="BK24" s="467"/>
      <c r="BL24" s="467"/>
      <c r="BM24" s="467"/>
      <c r="BN24" s="467"/>
      <c r="BO24" s="467"/>
      <c r="BP24" s="467"/>
      <c r="BQ24" s="467"/>
      <c r="BR24" s="467"/>
      <c r="BS24" s="467"/>
      <c r="BT24" s="467"/>
      <c r="BU24" s="467"/>
      <c r="BV24" s="467"/>
      <c r="BW24" s="467"/>
      <c r="BX24" s="467"/>
      <c r="BY24" s="467"/>
      <c r="BZ24" s="467"/>
    </row>
    <row r="25" spans="1:78" ht="13.5" thickBot="1" x14ac:dyDescent="0.25">
      <c r="A25" s="564" t="s">
        <v>15</v>
      </c>
      <c r="B25" s="566">
        <v>2</v>
      </c>
      <c r="C25" s="481"/>
      <c r="D25" s="481"/>
      <c r="E25" s="481">
        <v>2</v>
      </c>
      <c r="F25" s="481"/>
      <c r="G25" s="481"/>
      <c r="H25" s="481"/>
      <c r="I25" s="481">
        <v>1</v>
      </c>
      <c r="J25" s="481"/>
      <c r="K25" s="481"/>
      <c r="L25" s="481"/>
      <c r="M25" s="481"/>
      <c r="N25" s="811">
        <f t="shared" si="1"/>
        <v>5</v>
      </c>
      <c r="O25" s="572"/>
      <c r="P25" s="618" t="s">
        <v>221</v>
      </c>
      <c r="Q25" s="807">
        <v>6</v>
      </c>
      <c r="AG25" s="532"/>
      <c r="AH25" s="822" t="s">
        <v>123</v>
      </c>
      <c r="AI25" s="823"/>
      <c r="AJ25" s="174">
        <f>SUM(AJ9:AJ24)</f>
        <v>1</v>
      </c>
      <c r="AK25" s="174"/>
      <c r="AL25" s="174"/>
      <c r="AM25" s="174"/>
      <c r="AN25" s="174"/>
      <c r="AO25" s="174"/>
      <c r="AP25" s="174"/>
      <c r="AQ25" s="174"/>
      <c r="AR25" s="174"/>
      <c r="AS25" s="174"/>
      <c r="AT25" s="174"/>
      <c r="AU25" s="174"/>
      <c r="AV25" s="533"/>
      <c r="AW25" s="533"/>
      <c r="AX25" s="533"/>
      <c r="AY25" s="534"/>
      <c r="BG25" s="467"/>
      <c r="BH25" s="467"/>
      <c r="BI25" s="467"/>
      <c r="BJ25" s="467"/>
      <c r="BK25" s="467"/>
      <c r="BL25" s="467"/>
      <c r="BM25" s="467"/>
      <c r="BN25" s="467"/>
      <c r="BO25" s="467"/>
      <c r="BP25" s="467"/>
      <c r="BQ25" s="467"/>
      <c r="BR25" s="467"/>
      <c r="BS25" s="467"/>
      <c r="BT25" s="467"/>
      <c r="BU25" s="467"/>
      <c r="BV25" s="467"/>
      <c r="BW25" s="467"/>
      <c r="BX25" s="467"/>
      <c r="BY25" s="467"/>
      <c r="BZ25" s="467"/>
    </row>
    <row r="26" spans="1:78" x14ac:dyDescent="0.2">
      <c r="O26" s="572"/>
      <c r="P26" s="618" t="s">
        <v>306</v>
      </c>
      <c r="Q26" s="807">
        <v>4</v>
      </c>
      <c r="AG26" s="532"/>
      <c r="AH26" s="533"/>
      <c r="AI26" s="533"/>
      <c r="AJ26" s="533"/>
      <c r="AK26" s="533"/>
      <c r="AL26" s="533"/>
      <c r="AM26" s="533"/>
      <c r="AN26" s="533"/>
      <c r="AO26" s="533"/>
      <c r="AP26" s="533"/>
      <c r="AQ26" s="533"/>
      <c r="AR26" s="533"/>
      <c r="AS26" s="533"/>
      <c r="AT26" s="533"/>
      <c r="AU26" s="533"/>
      <c r="AV26" s="533"/>
      <c r="AW26" s="653">
        <f>SUM(AV9:AV24)</f>
        <v>6</v>
      </c>
      <c r="AX26" s="533"/>
      <c r="AY26" s="534"/>
      <c r="BG26" s="467"/>
      <c r="BH26" s="467"/>
      <c r="BI26" s="467"/>
      <c r="BJ26" s="467"/>
      <c r="BK26" s="467"/>
      <c r="BL26" s="467"/>
      <c r="BM26" s="467"/>
      <c r="BN26" s="467"/>
      <c r="BO26" s="467"/>
      <c r="BP26" s="467"/>
      <c r="BQ26" s="467"/>
      <c r="BR26" s="467"/>
      <c r="BS26" s="467"/>
      <c r="BT26" s="467"/>
      <c r="BU26" s="467"/>
      <c r="BV26" s="467"/>
      <c r="BW26" s="467"/>
      <c r="BX26" s="467"/>
      <c r="BY26" s="467"/>
      <c r="BZ26" s="467"/>
    </row>
    <row r="27" spans="1:78" x14ac:dyDescent="0.2">
      <c r="B27" s="98">
        <f>SUM(B22,B21)</f>
        <v>1</v>
      </c>
      <c r="C27" s="98">
        <f t="shared" ref="C27:M27" si="3">SUM(C22,C21)</f>
        <v>1</v>
      </c>
      <c r="D27" s="98">
        <f t="shared" si="3"/>
        <v>1</v>
      </c>
      <c r="E27" s="98">
        <f t="shared" si="3"/>
        <v>4</v>
      </c>
      <c r="F27" s="98">
        <f t="shared" si="3"/>
        <v>2</v>
      </c>
      <c r="I27" s="98">
        <f t="shared" si="3"/>
        <v>0</v>
      </c>
      <c r="J27" s="98">
        <f t="shared" si="3"/>
        <v>1</v>
      </c>
      <c r="K27" s="98">
        <f t="shared" si="3"/>
        <v>0</v>
      </c>
      <c r="L27" s="98">
        <f t="shared" si="3"/>
        <v>0</v>
      </c>
      <c r="M27" s="98">
        <f t="shared" si="3"/>
        <v>0</v>
      </c>
      <c r="O27" s="571"/>
      <c r="P27" s="618" t="s">
        <v>403</v>
      </c>
      <c r="Q27" s="807">
        <v>4</v>
      </c>
      <c r="AG27" s="532"/>
      <c r="AH27" s="533"/>
      <c r="AI27" s="533"/>
      <c r="AJ27" s="533"/>
      <c r="AK27" s="533"/>
      <c r="AL27" s="533"/>
      <c r="AM27" s="533"/>
      <c r="AN27" s="533"/>
      <c r="AO27" s="533"/>
      <c r="AP27" s="533"/>
      <c r="AQ27" s="533"/>
      <c r="AR27" s="533"/>
      <c r="AS27" s="533"/>
      <c r="AT27" s="533"/>
      <c r="AU27" s="533"/>
      <c r="AV27" s="533"/>
      <c r="AW27" s="533"/>
      <c r="AX27" s="533"/>
      <c r="AY27" s="534"/>
      <c r="BG27" s="467"/>
      <c r="BH27" s="467"/>
      <c r="BI27" s="467"/>
      <c r="BJ27" s="467"/>
      <c r="BK27" s="467"/>
      <c r="BL27" s="467"/>
      <c r="BM27" s="467"/>
      <c r="BN27" s="467"/>
      <c r="BO27" s="467"/>
      <c r="BP27" s="467"/>
      <c r="BQ27" s="467"/>
      <c r="BR27" s="467"/>
      <c r="BS27" s="467"/>
      <c r="BT27" s="467"/>
      <c r="BU27" s="467"/>
      <c r="BV27" s="467"/>
      <c r="BW27" s="467"/>
      <c r="BX27" s="467"/>
      <c r="BY27" s="467"/>
      <c r="BZ27" s="467"/>
    </row>
    <row r="28" spans="1:78" ht="15.75" thickBot="1" x14ac:dyDescent="0.25">
      <c r="A28" s="183" t="s">
        <v>245</v>
      </c>
      <c r="P28" s="620" t="s">
        <v>399</v>
      </c>
      <c r="Q28" s="610">
        <v>3</v>
      </c>
      <c r="AG28" s="532"/>
      <c r="AH28" s="533"/>
      <c r="AI28" s="533"/>
      <c r="AJ28" s="533"/>
      <c r="AK28" s="533"/>
      <c r="AL28" s="533"/>
      <c r="AM28" s="533"/>
      <c r="AN28" s="533"/>
      <c r="AO28" s="533"/>
      <c r="AP28" s="533"/>
      <c r="AQ28" s="533"/>
      <c r="AR28" s="533"/>
      <c r="AS28" s="533"/>
      <c r="AT28" s="533"/>
      <c r="AU28" s="533"/>
      <c r="AV28" s="533"/>
      <c r="AW28" s="533"/>
      <c r="AX28" s="533"/>
      <c r="AY28" s="534"/>
      <c r="BF28" s="98">
        <f>BW8131</f>
        <v>0</v>
      </c>
      <c r="BG28" s="467"/>
      <c r="BH28" s="467"/>
      <c r="BI28" s="467"/>
      <c r="BJ28" s="467"/>
      <c r="BK28" s="467"/>
      <c r="BL28" s="467"/>
      <c r="BM28" s="467"/>
      <c r="BN28" s="467"/>
      <c r="BO28" s="467"/>
      <c r="BP28" s="467"/>
      <c r="BQ28" s="467"/>
      <c r="BR28" s="467"/>
      <c r="BS28" s="467"/>
      <c r="BT28" s="467"/>
      <c r="BU28" s="467"/>
      <c r="BV28" s="467"/>
      <c r="BW28" s="467"/>
      <c r="BX28" s="467"/>
      <c r="BY28" s="467"/>
      <c r="BZ28" s="467"/>
    </row>
    <row r="29" spans="1:78" ht="13.5" thickBot="1" x14ac:dyDescent="0.25">
      <c r="AG29" s="535"/>
      <c r="AH29" s="537"/>
      <c r="AI29" s="537"/>
      <c r="AJ29" s="537"/>
      <c r="AK29" s="537"/>
      <c r="AL29" s="537"/>
      <c r="AM29" s="537"/>
      <c r="AN29" s="537"/>
      <c r="AO29" s="537"/>
      <c r="AP29" s="537"/>
      <c r="AQ29" s="537"/>
      <c r="AR29" s="537"/>
      <c r="AS29" s="537"/>
      <c r="AT29" s="537"/>
      <c r="AU29" s="537"/>
      <c r="AV29" s="537"/>
      <c r="AW29" s="537"/>
      <c r="AX29" s="537"/>
      <c r="AY29" s="538"/>
      <c r="BG29" s="467"/>
      <c r="BH29" s="467"/>
      <c r="BI29" s="467"/>
      <c r="BJ29" s="467"/>
      <c r="BK29" s="467"/>
      <c r="BL29" s="467"/>
      <c r="BM29" s="467"/>
      <c r="BN29" s="467"/>
      <c r="BO29" s="467"/>
      <c r="BP29" s="467"/>
      <c r="BQ29" s="467"/>
      <c r="BR29" s="467"/>
      <c r="BS29" s="467"/>
      <c r="BT29" s="467"/>
      <c r="BU29" s="467"/>
      <c r="BV29" s="467"/>
      <c r="BW29" s="467"/>
      <c r="BX29" s="467"/>
      <c r="BY29" s="467"/>
      <c r="BZ29" s="467"/>
    </row>
    <row r="30" spans="1:78" ht="13.5" thickBot="1" x14ac:dyDescent="0.25">
      <c r="A30" s="753"/>
      <c r="B30" s="522" t="s">
        <v>60</v>
      </c>
      <c r="C30" s="483" t="s">
        <v>59</v>
      </c>
      <c r="D30" s="483" t="s">
        <v>58</v>
      </c>
      <c r="E30" s="483" t="s">
        <v>57</v>
      </c>
      <c r="F30" s="483" t="s">
        <v>56</v>
      </c>
      <c r="G30" s="483" t="s">
        <v>55</v>
      </c>
      <c r="H30" s="483" t="s">
        <v>54</v>
      </c>
      <c r="I30" s="483" t="s">
        <v>53</v>
      </c>
      <c r="J30" s="483" t="s">
        <v>52</v>
      </c>
      <c r="K30" s="483" t="s">
        <v>51</v>
      </c>
      <c r="L30" s="483" t="s">
        <v>50</v>
      </c>
      <c r="M30" s="483" t="s">
        <v>49</v>
      </c>
      <c r="N30" s="523" t="s">
        <v>148</v>
      </c>
      <c r="BG30" s="467"/>
      <c r="BH30" s="467"/>
      <c r="BI30" s="467"/>
      <c r="BJ30" s="467"/>
      <c r="BK30" s="467"/>
      <c r="BL30" s="467"/>
      <c r="BM30" s="467"/>
      <c r="BN30" s="467"/>
      <c r="BO30" s="467"/>
      <c r="BP30" s="467"/>
      <c r="BQ30" s="467"/>
      <c r="BR30" s="467"/>
      <c r="BS30" s="467"/>
      <c r="BT30" s="467"/>
      <c r="BU30" s="467"/>
      <c r="BV30" s="467"/>
      <c r="BW30" s="467"/>
      <c r="BX30" s="467"/>
      <c r="BY30" s="467"/>
      <c r="BZ30" s="467"/>
    </row>
    <row r="31" spans="1:78" ht="13.5" thickBot="1" x14ac:dyDescent="0.25">
      <c r="A31" s="524" t="s">
        <v>246</v>
      </c>
      <c r="B31" s="492">
        <v>1</v>
      </c>
      <c r="C31" s="486">
        <v>1</v>
      </c>
      <c r="D31" s="486">
        <v>2</v>
      </c>
      <c r="E31" s="486"/>
      <c r="F31" s="486"/>
      <c r="G31" s="486">
        <v>2</v>
      </c>
      <c r="H31" s="505">
        <v>2</v>
      </c>
      <c r="I31" s="487">
        <v>1</v>
      </c>
      <c r="J31" s="487"/>
      <c r="K31" s="487"/>
      <c r="L31" s="487"/>
      <c r="M31" s="124"/>
      <c r="N31" s="493"/>
      <c r="AM31" s="199"/>
      <c r="AO31" s="199"/>
      <c r="AP31" s="199"/>
      <c r="AQ31" s="199"/>
      <c r="BG31" s="467"/>
      <c r="BH31" s="467"/>
      <c r="BI31" s="467"/>
      <c r="BJ31" s="467"/>
      <c r="BK31" s="467"/>
      <c r="BL31" s="467"/>
      <c r="BM31" s="467"/>
      <c r="BN31" s="467"/>
      <c r="BO31" s="467"/>
      <c r="BP31" s="467"/>
      <c r="BQ31" s="467"/>
      <c r="BR31" s="467"/>
      <c r="BS31" s="467"/>
      <c r="BT31" s="467"/>
      <c r="BU31" s="467"/>
      <c r="BV31" s="467"/>
      <c r="BW31" s="467"/>
      <c r="BX31" s="467"/>
      <c r="BY31" s="467"/>
      <c r="BZ31" s="467"/>
    </row>
    <row r="32" spans="1:78" ht="13.5" thickBot="1" x14ac:dyDescent="0.25">
      <c r="A32" s="524" t="s">
        <v>237</v>
      </c>
      <c r="B32" s="543"/>
      <c r="C32" s="544">
        <v>1</v>
      </c>
      <c r="D32" s="544"/>
      <c r="E32" s="544">
        <v>1</v>
      </c>
      <c r="F32" s="544"/>
      <c r="G32" s="544"/>
      <c r="H32" s="545">
        <v>1</v>
      </c>
      <c r="I32" s="544">
        <v>1</v>
      </c>
      <c r="J32" s="544"/>
      <c r="K32" s="544"/>
      <c r="L32" s="544"/>
      <c r="M32" s="544"/>
      <c r="N32" s="546"/>
    </row>
    <row r="33" spans="1:64" ht="13.5" thickBot="1" x14ac:dyDescent="0.25">
      <c r="A33" s="476" t="s">
        <v>99</v>
      </c>
      <c r="B33" s="481"/>
      <c r="C33" s="472"/>
      <c r="D33" s="481"/>
      <c r="E33" s="481"/>
      <c r="F33" s="481"/>
      <c r="G33" s="472"/>
      <c r="H33" s="472"/>
      <c r="I33" s="481"/>
      <c r="J33" s="472">
        <v>1</v>
      </c>
      <c r="K33" s="472"/>
      <c r="L33" s="472"/>
      <c r="M33" s="472"/>
      <c r="N33" s="473"/>
      <c r="AG33" s="529"/>
      <c r="AH33" s="530"/>
      <c r="AI33" s="530"/>
      <c r="AJ33" s="530"/>
      <c r="AK33" s="530"/>
      <c r="AL33" s="530"/>
      <c r="AM33" s="530"/>
      <c r="AN33" s="530"/>
      <c r="AO33" s="530"/>
      <c r="AP33" s="530"/>
      <c r="AQ33" s="530"/>
      <c r="AR33" s="530"/>
      <c r="AS33" s="530"/>
      <c r="AT33" s="530"/>
      <c r="AU33" s="530"/>
      <c r="AV33" s="530"/>
      <c r="AW33" s="530"/>
      <c r="AX33" s="530"/>
      <c r="AY33" s="531"/>
    </row>
    <row r="34" spans="1:64" ht="16.5" thickBot="1" x14ac:dyDescent="0.3">
      <c r="A34" s="752"/>
      <c r="B34" s="482" t="s">
        <v>222</v>
      </c>
      <c r="C34" s="484" t="s">
        <v>223</v>
      </c>
      <c r="D34" s="484" t="s">
        <v>224</v>
      </c>
      <c r="E34" s="484" t="s">
        <v>225</v>
      </c>
      <c r="F34" s="484" t="s">
        <v>226</v>
      </c>
      <c r="G34" s="484" t="s">
        <v>227</v>
      </c>
      <c r="H34" s="484" t="s">
        <v>228</v>
      </c>
      <c r="I34" s="484" t="s">
        <v>229</v>
      </c>
      <c r="J34" s="484" t="s">
        <v>230</v>
      </c>
      <c r="K34" s="484" t="s">
        <v>231</v>
      </c>
      <c r="L34" s="484" t="s">
        <v>232</v>
      </c>
      <c r="M34" s="485" t="s">
        <v>233</v>
      </c>
      <c r="AG34" s="532"/>
      <c r="AH34" s="533"/>
      <c r="AI34" s="533"/>
      <c r="AJ34" s="533"/>
      <c r="AK34" s="533"/>
      <c r="AL34" s="533"/>
      <c r="AM34" s="533"/>
      <c r="AN34" s="533"/>
      <c r="AO34" s="533"/>
      <c r="AP34" s="533"/>
      <c r="AQ34" s="533"/>
      <c r="AR34" s="533"/>
      <c r="AS34" s="533"/>
      <c r="AT34" s="533"/>
      <c r="AU34" s="533"/>
      <c r="AV34" s="533"/>
      <c r="AW34" s="533"/>
      <c r="AX34" s="533"/>
      <c r="AY34" s="534"/>
    </row>
    <row r="35" spans="1:64" ht="19.5" thickBot="1" x14ac:dyDescent="0.35">
      <c r="A35" s="491" t="s">
        <v>247</v>
      </c>
      <c r="B35" s="547">
        <f>B31</f>
        <v>1</v>
      </c>
      <c r="C35" s="487">
        <f t="shared" ref="C35:E36" si="4">SUM(B35,C31)</f>
        <v>2</v>
      </c>
      <c r="D35" s="487">
        <f t="shared" si="4"/>
        <v>4</v>
      </c>
      <c r="E35" s="487">
        <f t="shared" si="4"/>
        <v>4</v>
      </c>
      <c r="F35" s="487"/>
      <c r="G35" s="487"/>
      <c r="H35" s="550">
        <f t="shared" ref="H35" si="5">SUM(G35,H31)</f>
        <v>2</v>
      </c>
      <c r="I35" s="550"/>
      <c r="J35" s="550">
        <f>SUM(I35,J31)</f>
        <v>0</v>
      </c>
      <c r="K35" s="550"/>
      <c r="L35" s="505"/>
      <c r="M35" s="548"/>
      <c r="AG35" s="532"/>
      <c r="AH35" s="536" t="s">
        <v>122</v>
      </c>
      <c r="AI35" s="533"/>
      <c r="AJ35" s="533"/>
      <c r="AK35" s="533"/>
      <c r="AL35" s="533"/>
      <c r="AM35" s="533"/>
      <c r="AN35" s="533"/>
      <c r="AO35" s="533"/>
      <c r="AP35" s="533"/>
      <c r="AQ35" s="533"/>
      <c r="AR35" s="533"/>
      <c r="AS35" s="533"/>
      <c r="AT35" s="533"/>
      <c r="AU35" s="533"/>
      <c r="AV35" s="533"/>
      <c r="AW35" s="533"/>
      <c r="AX35" s="533"/>
      <c r="AY35" s="534"/>
    </row>
    <row r="36" spans="1:64" ht="15" customHeight="1" thickBot="1" x14ac:dyDescent="0.25">
      <c r="A36" s="476" t="s">
        <v>234</v>
      </c>
      <c r="B36" s="549">
        <f>B32</f>
        <v>0</v>
      </c>
      <c r="C36" s="481">
        <f t="shared" si="4"/>
        <v>1</v>
      </c>
      <c r="D36" s="481">
        <f t="shared" si="4"/>
        <v>1</v>
      </c>
      <c r="E36" s="481">
        <f t="shared" si="4"/>
        <v>2</v>
      </c>
      <c r="F36" s="481"/>
      <c r="G36" s="481"/>
      <c r="H36" s="481"/>
      <c r="I36" s="481"/>
      <c r="J36" s="481"/>
      <c r="K36" s="481"/>
      <c r="L36" s="506"/>
      <c r="M36" s="699"/>
      <c r="AG36" s="532"/>
      <c r="AH36" s="533"/>
      <c r="AI36" s="533"/>
      <c r="AJ36" s="131" t="s">
        <v>60</v>
      </c>
      <c r="AK36" s="130" t="s">
        <v>59</v>
      </c>
      <c r="AL36" s="130" t="s">
        <v>58</v>
      </c>
      <c r="AM36" s="130" t="s">
        <v>57</v>
      </c>
      <c r="AN36" s="130" t="s">
        <v>56</v>
      </c>
      <c r="AO36" s="130" t="s">
        <v>55</v>
      </c>
      <c r="AP36" s="130" t="s">
        <v>54</v>
      </c>
      <c r="AQ36" s="130" t="s">
        <v>53</v>
      </c>
      <c r="AR36" s="130" t="s">
        <v>52</v>
      </c>
      <c r="AS36" s="130" t="s">
        <v>51</v>
      </c>
      <c r="AT36" s="130" t="s">
        <v>50</v>
      </c>
      <c r="AU36" s="129" t="s">
        <v>49</v>
      </c>
      <c r="AV36" s="184" t="s">
        <v>121</v>
      </c>
      <c r="AW36" s="534"/>
      <c r="AX36" s="176" t="s">
        <v>117</v>
      </c>
      <c r="AY36" s="174">
        <v>1</v>
      </c>
    </row>
    <row r="37" spans="1:64" ht="13.5" thickBot="1" x14ac:dyDescent="0.25">
      <c r="AG37" s="541"/>
      <c r="AH37" s="560" t="s">
        <v>108</v>
      </c>
      <c r="AI37" s="561"/>
      <c r="AJ37" s="192"/>
      <c r="AK37" s="192"/>
      <c r="AL37" s="192"/>
      <c r="AM37" s="192"/>
      <c r="AN37" s="192"/>
      <c r="AO37" s="192"/>
      <c r="AP37" s="192"/>
      <c r="AQ37" s="192"/>
      <c r="AR37" s="192"/>
      <c r="AS37" s="192"/>
      <c r="AT37" s="192"/>
      <c r="AU37" s="192"/>
      <c r="AV37" s="174">
        <f t="shared" ref="AV37:AV63" si="6">SUM(AJ37:AU37)</f>
        <v>0</v>
      </c>
      <c r="AW37" s="534"/>
      <c r="AX37" s="176" t="s">
        <v>107</v>
      </c>
      <c r="AY37" s="174"/>
    </row>
    <row r="38" spans="1:64" ht="13.5" thickBot="1" x14ac:dyDescent="0.25">
      <c r="P38" s="613" t="s">
        <v>400</v>
      </c>
      <c r="Q38" s="474" t="s">
        <v>60</v>
      </c>
      <c r="R38" s="474" t="s">
        <v>59</v>
      </c>
      <c r="S38" s="474" t="s">
        <v>58</v>
      </c>
      <c r="T38" s="474" t="s">
        <v>57</v>
      </c>
      <c r="U38" s="474" t="s">
        <v>56</v>
      </c>
      <c r="V38" s="474" t="s">
        <v>55</v>
      </c>
      <c r="W38" s="474" t="s">
        <v>54</v>
      </c>
      <c r="X38" s="474" t="s">
        <v>53</v>
      </c>
      <c r="Y38" s="474" t="s">
        <v>52</v>
      </c>
      <c r="Z38" s="474" t="s">
        <v>51</v>
      </c>
      <c r="AA38" s="474" t="s">
        <v>50</v>
      </c>
      <c r="AB38" s="613" t="s">
        <v>49</v>
      </c>
      <c r="AC38" s="474" t="s">
        <v>413</v>
      </c>
      <c r="AG38" s="532"/>
      <c r="AH38" s="560" t="s">
        <v>118</v>
      </c>
      <c r="AI38" s="561"/>
      <c r="AJ38" s="177"/>
      <c r="AK38" s="177"/>
      <c r="AL38" s="177"/>
      <c r="AM38" s="177"/>
      <c r="AN38" s="177"/>
      <c r="AO38" s="177"/>
      <c r="AP38" s="177"/>
      <c r="AQ38" s="177"/>
      <c r="AR38" s="177"/>
      <c r="AS38" s="177"/>
      <c r="AT38" s="177"/>
      <c r="AU38" s="177"/>
      <c r="AV38" s="174">
        <f t="shared" si="6"/>
        <v>0</v>
      </c>
      <c r="AW38" s="534"/>
      <c r="AX38" s="176" t="s">
        <v>115</v>
      </c>
      <c r="AY38" s="174"/>
    </row>
    <row r="39" spans="1:64" ht="15.75" customHeight="1" x14ac:dyDescent="0.2">
      <c r="P39" s="617" t="s">
        <v>404</v>
      </c>
      <c r="Q39" s="797">
        <v>2</v>
      </c>
      <c r="R39" s="798"/>
      <c r="S39" s="798"/>
      <c r="T39" s="798">
        <v>6</v>
      </c>
      <c r="U39" s="798"/>
      <c r="V39" s="798">
        <v>2</v>
      </c>
      <c r="W39" s="798">
        <v>3</v>
      </c>
      <c r="X39" s="798"/>
      <c r="Y39" s="798"/>
      <c r="Z39" s="798"/>
      <c r="AA39" s="798"/>
      <c r="AB39" s="799"/>
      <c r="AC39" s="806">
        <f>SUM(Q39:AB39)</f>
        <v>13</v>
      </c>
      <c r="AG39" s="532"/>
      <c r="AH39" s="560" t="s">
        <v>120</v>
      </c>
      <c r="AI39" s="561"/>
      <c r="AJ39" s="175"/>
      <c r="AK39" s="175"/>
      <c r="AL39" s="175"/>
      <c r="AM39" s="175"/>
      <c r="AN39" s="175"/>
      <c r="AO39" s="175"/>
      <c r="AP39" s="175"/>
      <c r="AQ39" s="175"/>
      <c r="AR39" s="175"/>
      <c r="AS39" s="175"/>
      <c r="AT39" s="175"/>
      <c r="AU39" s="175"/>
      <c r="AV39" s="174">
        <f t="shared" si="6"/>
        <v>0</v>
      </c>
      <c r="AW39" s="534"/>
      <c r="AX39" s="176" t="s">
        <v>113</v>
      </c>
      <c r="AY39" s="174">
        <v>4</v>
      </c>
    </row>
    <row r="40" spans="1:64" x14ac:dyDescent="0.2">
      <c r="P40" s="618" t="s">
        <v>402</v>
      </c>
      <c r="Q40" s="800"/>
      <c r="R40" s="478"/>
      <c r="S40" s="478"/>
      <c r="T40" s="478"/>
      <c r="U40" s="478"/>
      <c r="V40" s="478">
        <v>1</v>
      </c>
      <c r="W40" s="478"/>
      <c r="X40" s="478"/>
      <c r="Y40" s="478"/>
      <c r="Z40" s="478"/>
      <c r="AA40" s="478"/>
      <c r="AB40" s="801"/>
      <c r="AC40" s="804">
        <f t="shared" ref="AC40:AC49" si="7">SUM(Q40:AB40)</f>
        <v>1</v>
      </c>
      <c r="AG40" s="532"/>
      <c r="AH40" s="560" t="s">
        <v>114</v>
      </c>
      <c r="AI40" s="561"/>
      <c r="AJ40" s="177"/>
      <c r="AK40" s="177"/>
      <c r="AL40" s="177"/>
      <c r="AM40" s="177"/>
      <c r="AN40" s="177"/>
      <c r="AO40" s="177"/>
      <c r="AP40" s="177"/>
      <c r="AQ40" s="177"/>
      <c r="AR40" s="177"/>
      <c r="AS40" s="177"/>
      <c r="AT40" s="177"/>
      <c r="AU40" s="177"/>
      <c r="AV40" s="174">
        <f t="shared" si="6"/>
        <v>0</v>
      </c>
      <c r="AW40" s="534"/>
      <c r="AX40" s="176" t="s">
        <v>111</v>
      </c>
      <c r="AY40" s="174"/>
      <c r="BG40" s="180"/>
    </row>
    <row r="41" spans="1:64" ht="13.5" customHeight="1" x14ac:dyDescent="0.2">
      <c r="P41" s="618" t="s">
        <v>405</v>
      </c>
      <c r="Q41" s="800"/>
      <c r="R41" s="478"/>
      <c r="S41" s="478"/>
      <c r="T41" s="478"/>
      <c r="U41" s="478"/>
      <c r="V41" s="478">
        <v>2</v>
      </c>
      <c r="W41" s="478"/>
      <c r="X41" s="478"/>
      <c r="Y41" s="478"/>
      <c r="Z41" s="478"/>
      <c r="AA41" s="478"/>
      <c r="AB41" s="801"/>
      <c r="AC41" s="804">
        <f t="shared" si="7"/>
        <v>2</v>
      </c>
      <c r="AG41" s="532"/>
      <c r="AH41" s="560" t="s">
        <v>110</v>
      </c>
      <c r="AI41" s="561"/>
      <c r="AJ41" s="175"/>
      <c r="AK41" s="175"/>
      <c r="AL41" s="175"/>
      <c r="AM41" s="175"/>
      <c r="AN41" s="175"/>
      <c r="AO41" s="175"/>
      <c r="AP41" s="175"/>
      <c r="AQ41" s="175"/>
      <c r="AR41" s="175"/>
      <c r="AS41" s="175"/>
      <c r="AT41" s="175"/>
      <c r="AU41" s="175"/>
      <c r="AV41" s="174">
        <f t="shared" si="6"/>
        <v>0</v>
      </c>
      <c r="AW41" s="534"/>
      <c r="AX41" s="176" t="s">
        <v>108</v>
      </c>
      <c r="AY41" s="174">
        <v>0</v>
      </c>
      <c r="BD41" s="180"/>
      <c r="BE41" s="180"/>
      <c r="BF41" s="180"/>
      <c r="BG41" s="180"/>
    </row>
    <row r="42" spans="1:64" ht="15" x14ac:dyDescent="0.25">
      <c r="P42" s="618" t="s">
        <v>406</v>
      </c>
      <c r="Q42" s="800"/>
      <c r="R42" s="478"/>
      <c r="S42" s="478"/>
      <c r="T42" s="478"/>
      <c r="U42" s="478"/>
      <c r="V42" s="478">
        <v>1</v>
      </c>
      <c r="W42" s="478"/>
      <c r="X42" s="478"/>
      <c r="Y42" s="478"/>
      <c r="Z42" s="478"/>
      <c r="AA42" s="478"/>
      <c r="AB42" s="801"/>
      <c r="AC42" s="804">
        <f t="shared" si="7"/>
        <v>1</v>
      </c>
      <c r="AG42" s="532"/>
      <c r="AH42" s="560" t="s">
        <v>104</v>
      </c>
      <c r="AI42" s="561"/>
      <c r="AJ42" s="177"/>
      <c r="AK42" s="177"/>
      <c r="AL42" s="177"/>
      <c r="AM42" s="177"/>
      <c r="AN42" s="177"/>
      <c r="AO42" s="177"/>
      <c r="AP42" s="177"/>
      <c r="AQ42" s="177"/>
      <c r="AR42" s="177"/>
      <c r="AS42" s="177"/>
      <c r="AT42" s="177"/>
      <c r="AU42" s="177"/>
      <c r="AV42" s="174">
        <f t="shared" si="6"/>
        <v>0</v>
      </c>
      <c r="AW42" s="534"/>
      <c r="AX42" s="176" t="s">
        <v>118</v>
      </c>
      <c r="AY42" s="174">
        <v>0</v>
      </c>
      <c r="BD42" s="178"/>
      <c r="BE42" s="180"/>
      <c r="BF42" s="180"/>
      <c r="BG42" s="180"/>
      <c r="BJ42"/>
      <c r="BK42" s="612"/>
      <c r="BL42"/>
    </row>
    <row r="43" spans="1:64" ht="15.75" customHeight="1" x14ac:dyDescent="0.2">
      <c r="P43" s="792" t="s">
        <v>412</v>
      </c>
      <c r="Q43" s="800">
        <v>1</v>
      </c>
      <c r="R43" s="478"/>
      <c r="S43" s="478"/>
      <c r="T43" s="478">
        <v>2</v>
      </c>
      <c r="U43" s="478">
        <v>2</v>
      </c>
      <c r="V43" s="478">
        <v>1</v>
      </c>
      <c r="W43" s="478"/>
      <c r="X43" s="478">
        <v>5</v>
      </c>
      <c r="Y43" s="478">
        <v>1</v>
      </c>
      <c r="Z43" s="478"/>
      <c r="AA43" s="478"/>
      <c r="AB43" s="801"/>
      <c r="AC43" s="804">
        <f t="shared" si="7"/>
        <v>12</v>
      </c>
      <c r="AG43" s="532"/>
      <c r="AH43" s="560" t="s">
        <v>119</v>
      </c>
      <c r="AI43" s="561"/>
      <c r="AJ43" s="175"/>
      <c r="AK43" s="175"/>
      <c r="AL43" s="175"/>
      <c r="AM43" s="175"/>
      <c r="AN43" s="175"/>
      <c r="AO43" s="175"/>
      <c r="AP43" s="175"/>
      <c r="AQ43" s="175"/>
      <c r="AR43" s="175"/>
      <c r="AS43" s="175"/>
      <c r="AT43" s="175"/>
      <c r="AU43" s="175"/>
      <c r="AV43" s="174">
        <f t="shared" si="6"/>
        <v>0</v>
      </c>
      <c r="AW43" s="534"/>
      <c r="AX43" s="176" t="s">
        <v>120</v>
      </c>
      <c r="AY43" s="174">
        <v>0</v>
      </c>
      <c r="BD43" s="178"/>
      <c r="BE43" s="180"/>
      <c r="BF43" s="180"/>
      <c r="BG43" s="180"/>
    </row>
    <row r="44" spans="1:64" x14ac:dyDescent="0.2">
      <c r="P44" s="618" t="s">
        <v>407</v>
      </c>
      <c r="Q44" s="800"/>
      <c r="R44" s="478"/>
      <c r="S44" s="478"/>
      <c r="T44" s="478">
        <v>7</v>
      </c>
      <c r="U44" s="478"/>
      <c r="V44" s="478"/>
      <c r="W44" s="478"/>
      <c r="X44" s="478"/>
      <c r="Y44" s="478"/>
      <c r="Z44" s="478"/>
      <c r="AA44" s="478"/>
      <c r="AB44" s="801"/>
      <c r="AC44" s="804">
        <f t="shared" si="7"/>
        <v>7</v>
      </c>
      <c r="AG44" s="532"/>
      <c r="AH44" s="560" t="s">
        <v>116</v>
      </c>
      <c r="AI44" s="561"/>
      <c r="AJ44" s="177"/>
      <c r="AK44" s="177"/>
      <c r="AL44" s="177"/>
      <c r="AM44" s="177"/>
      <c r="AN44" s="177"/>
      <c r="AO44" s="177"/>
      <c r="AP44" s="177"/>
      <c r="AQ44" s="177"/>
      <c r="AR44" s="177"/>
      <c r="AS44" s="177"/>
      <c r="AT44" s="177"/>
      <c r="AU44" s="177"/>
      <c r="AV44" s="174">
        <f t="shared" si="6"/>
        <v>0</v>
      </c>
      <c r="AW44" s="534"/>
      <c r="AX44" s="176" t="s">
        <v>114</v>
      </c>
      <c r="AY44" s="174">
        <v>0</v>
      </c>
      <c r="BD44" s="178"/>
      <c r="BE44" s="180"/>
      <c r="BF44" s="180"/>
      <c r="BG44" s="180"/>
    </row>
    <row r="45" spans="1:64" ht="15.75" customHeight="1" x14ac:dyDescent="0.2">
      <c r="P45" s="618" t="s">
        <v>408</v>
      </c>
      <c r="Q45" s="800"/>
      <c r="R45" s="478"/>
      <c r="S45" s="478"/>
      <c r="T45" s="478"/>
      <c r="U45" s="478"/>
      <c r="V45" s="478">
        <v>1</v>
      </c>
      <c r="W45" s="478">
        <v>1</v>
      </c>
      <c r="X45" s="478"/>
      <c r="Y45" s="478"/>
      <c r="Z45" s="478"/>
      <c r="AA45" s="478"/>
      <c r="AB45" s="801"/>
      <c r="AC45" s="804">
        <f t="shared" si="7"/>
        <v>2</v>
      </c>
      <c r="AG45" s="532"/>
      <c r="AH45" s="560" t="s">
        <v>117</v>
      </c>
      <c r="AI45" s="561"/>
      <c r="AJ45" s="175"/>
      <c r="AK45" s="175"/>
      <c r="AL45" s="175">
        <v>1</v>
      </c>
      <c r="AM45" s="175"/>
      <c r="AN45" s="175"/>
      <c r="AO45" s="175"/>
      <c r="AP45" s="175"/>
      <c r="AQ45" s="175"/>
      <c r="AR45" s="175"/>
      <c r="AS45" s="175"/>
      <c r="AT45" s="175"/>
      <c r="AU45" s="175"/>
      <c r="AV45" s="174">
        <f t="shared" si="6"/>
        <v>1</v>
      </c>
      <c r="AW45" s="534"/>
      <c r="AX45" s="176" t="s">
        <v>110</v>
      </c>
      <c r="AY45" s="174">
        <v>0</v>
      </c>
      <c r="BD45" s="178"/>
      <c r="BE45" s="180"/>
      <c r="BF45" s="180"/>
      <c r="BG45" s="180"/>
    </row>
    <row r="46" spans="1:64" x14ac:dyDescent="0.2">
      <c r="P46" s="618" t="s">
        <v>401</v>
      </c>
      <c r="Q46" s="800"/>
      <c r="R46" s="478"/>
      <c r="S46" s="478"/>
      <c r="T46" s="478">
        <v>2</v>
      </c>
      <c r="U46" s="478">
        <v>1</v>
      </c>
      <c r="V46" s="478"/>
      <c r="W46" s="478">
        <v>1</v>
      </c>
      <c r="X46" s="478"/>
      <c r="Y46" s="478"/>
      <c r="Z46" s="478"/>
      <c r="AA46" s="478"/>
      <c r="AB46" s="801"/>
      <c r="AC46" s="804">
        <f t="shared" si="7"/>
        <v>4</v>
      </c>
      <c r="AG46" s="532"/>
      <c r="AH46" s="560" t="s">
        <v>112</v>
      </c>
      <c r="AI46" s="561"/>
      <c r="AJ46" s="177"/>
      <c r="AK46" s="177"/>
      <c r="AL46" s="177"/>
      <c r="AM46" s="177"/>
      <c r="AN46" s="177"/>
      <c r="AO46" s="177"/>
      <c r="AP46" s="177"/>
      <c r="AQ46" s="177"/>
      <c r="AR46" s="177"/>
      <c r="AS46" s="177"/>
      <c r="AT46" s="177"/>
      <c r="AU46" s="177"/>
      <c r="AV46" s="174">
        <f t="shared" si="6"/>
        <v>0</v>
      </c>
      <c r="AW46" s="534"/>
      <c r="AX46" s="176" t="s">
        <v>104</v>
      </c>
      <c r="AY46" s="174">
        <v>0</v>
      </c>
      <c r="BD46" s="178"/>
      <c r="BE46" s="180"/>
      <c r="BF46" s="180"/>
      <c r="BG46" s="180"/>
    </row>
    <row r="47" spans="1:64" ht="15.75" customHeight="1" x14ac:dyDescent="0.2">
      <c r="N47" s="178"/>
      <c r="P47" s="618" t="s">
        <v>409</v>
      </c>
      <c r="Q47" s="800"/>
      <c r="R47" s="478"/>
      <c r="S47" s="478"/>
      <c r="T47" s="478">
        <v>2</v>
      </c>
      <c r="U47" s="478"/>
      <c r="V47" s="478">
        <v>1</v>
      </c>
      <c r="W47" s="478">
        <v>1</v>
      </c>
      <c r="X47" s="478"/>
      <c r="Y47" s="478"/>
      <c r="Z47" s="478"/>
      <c r="AA47" s="478"/>
      <c r="AB47" s="801"/>
      <c r="AC47" s="804">
        <f t="shared" si="7"/>
        <v>4</v>
      </c>
      <c r="AG47" s="532"/>
      <c r="AH47" s="560" t="s">
        <v>115</v>
      </c>
      <c r="AI47" s="561"/>
      <c r="AJ47" s="175"/>
      <c r="AK47" s="175"/>
      <c r="AL47" s="175"/>
      <c r="AM47" s="175"/>
      <c r="AN47" s="175"/>
      <c r="AO47" s="175"/>
      <c r="AP47" s="175"/>
      <c r="AQ47" s="175"/>
      <c r="AR47" s="175"/>
      <c r="AS47" s="175"/>
      <c r="AT47" s="175"/>
      <c r="AU47" s="175"/>
      <c r="AV47" s="174">
        <f t="shared" si="6"/>
        <v>0</v>
      </c>
      <c r="AW47" s="534"/>
      <c r="AX47" s="176" t="s">
        <v>119</v>
      </c>
      <c r="AY47" s="174">
        <v>0</v>
      </c>
      <c r="BE47" s="180"/>
      <c r="BF47" s="180"/>
      <c r="BG47" s="180"/>
    </row>
    <row r="48" spans="1:64" ht="15.75" customHeight="1" x14ac:dyDescent="0.2">
      <c r="A48" s="180"/>
      <c r="P48" s="618" t="s">
        <v>410</v>
      </c>
      <c r="Q48" s="800">
        <v>1</v>
      </c>
      <c r="R48" s="478"/>
      <c r="S48" s="478"/>
      <c r="T48" s="478"/>
      <c r="U48" s="478"/>
      <c r="V48" s="478">
        <v>2</v>
      </c>
      <c r="W48" s="478"/>
      <c r="X48" s="478"/>
      <c r="Y48" s="478"/>
      <c r="Z48" s="478"/>
      <c r="AA48" s="478"/>
      <c r="AB48" s="801"/>
      <c r="AC48" s="804">
        <f t="shared" si="7"/>
        <v>3</v>
      </c>
      <c r="AG48" s="532"/>
      <c r="AH48" s="560" t="s">
        <v>113</v>
      </c>
      <c r="AI48" s="561"/>
      <c r="AJ48" s="177">
        <v>1</v>
      </c>
      <c r="AK48" s="177"/>
      <c r="AL48" s="177"/>
      <c r="AM48" s="177">
        <v>2</v>
      </c>
      <c r="AN48" s="177"/>
      <c r="AO48" s="177"/>
      <c r="AP48" s="177"/>
      <c r="AQ48" s="177">
        <v>1</v>
      </c>
      <c r="AR48" s="177"/>
      <c r="AS48" s="177"/>
      <c r="AT48" s="177"/>
      <c r="AU48" s="177"/>
      <c r="AV48" s="174">
        <f t="shared" si="6"/>
        <v>4</v>
      </c>
      <c r="AW48" s="534"/>
      <c r="AX48" s="176" t="s">
        <v>116</v>
      </c>
      <c r="AY48" s="174">
        <v>0</v>
      </c>
      <c r="BD48" s="178"/>
      <c r="BE48" s="180"/>
      <c r="BF48" s="180"/>
      <c r="BG48" s="180"/>
    </row>
    <row r="49" spans="1:59" ht="15.75" customHeight="1" thickBot="1" x14ac:dyDescent="0.25">
      <c r="P49" s="620" t="s">
        <v>411</v>
      </c>
      <c r="Q49" s="549">
        <v>3</v>
      </c>
      <c r="R49" s="481"/>
      <c r="S49" s="481"/>
      <c r="T49" s="481"/>
      <c r="U49" s="481"/>
      <c r="V49" s="481"/>
      <c r="W49" s="481"/>
      <c r="X49" s="481"/>
      <c r="Y49" s="481"/>
      <c r="Z49" s="481"/>
      <c r="AA49" s="481"/>
      <c r="AB49" s="802"/>
      <c r="AC49" s="805">
        <f t="shared" si="7"/>
        <v>3</v>
      </c>
      <c r="AG49" s="532"/>
      <c r="AH49" s="560" t="s">
        <v>111</v>
      </c>
      <c r="AI49" s="561"/>
      <c r="AJ49" s="182"/>
      <c r="AK49" s="182"/>
      <c r="AL49" s="182"/>
      <c r="AM49" s="182"/>
      <c r="AN49" s="182"/>
      <c r="AO49" s="182"/>
      <c r="AP49" s="182"/>
      <c r="AQ49" s="182"/>
      <c r="AR49" s="182"/>
      <c r="AS49" s="182"/>
      <c r="AT49" s="182"/>
      <c r="AU49" s="182"/>
      <c r="AV49" s="174">
        <f t="shared" si="6"/>
        <v>0</v>
      </c>
      <c r="AW49" s="534"/>
      <c r="AX49" s="176" t="s">
        <v>112</v>
      </c>
      <c r="AY49" s="174">
        <v>0</v>
      </c>
      <c r="BD49" s="180"/>
      <c r="BE49" s="180"/>
      <c r="BF49" s="180"/>
      <c r="BG49" s="180"/>
    </row>
    <row r="50" spans="1:59" ht="15.75" customHeight="1" thickBot="1" x14ac:dyDescent="0.25">
      <c r="AG50" s="532"/>
      <c r="AH50" s="560" t="s">
        <v>109</v>
      </c>
      <c r="AI50" s="561"/>
      <c r="AJ50" s="177"/>
      <c r="AK50" s="177"/>
      <c r="AL50" s="177"/>
      <c r="AM50" s="177"/>
      <c r="AN50" s="177"/>
      <c r="AO50" s="177"/>
      <c r="AP50" s="177"/>
      <c r="AQ50" s="177"/>
      <c r="AR50" s="177"/>
      <c r="AS50" s="177"/>
      <c r="AT50" s="177"/>
      <c r="AU50" s="177"/>
      <c r="AV50" s="174">
        <f t="shared" si="6"/>
        <v>0</v>
      </c>
      <c r="AW50" s="534"/>
      <c r="AX50" s="176" t="s">
        <v>109</v>
      </c>
      <c r="AY50" s="174">
        <v>0</v>
      </c>
      <c r="BD50" s="180"/>
    </row>
    <row r="51" spans="1:59" ht="13.5" thickBot="1" x14ac:dyDescent="0.25">
      <c r="P51" s="613" t="s">
        <v>400</v>
      </c>
      <c r="Q51" s="474" t="s">
        <v>413</v>
      </c>
      <c r="AG51" s="532"/>
      <c r="AH51" s="560" t="s">
        <v>103</v>
      </c>
      <c r="AI51" s="561"/>
      <c r="AJ51" s="175"/>
      <c r="AK51" s="175"/>
      <c r="AL51" s="175"/>
      <c r="AM51" s="175"/>
      <c r="AN51" s="175"/>
      <c r="AO51" s="175"/>
      <c r="AP51" s="175"/>
      <c r="AQ51" s="175"/>
      <c r="AR51" s="175"/>
      <c r="AS51" s="175"/>
      <c r="AT51" s="175"/>
      <c r="AU51" s="175"/>
      <c r="AV51" s="174">
        <f t="shared" si="6"/>
        <v>0</v>
      </c>
      <c r="AW51" s="534"/>
      <c r="AX51" s="176" t="s">
        <v>103</v>
      </c>
      <c r="AY51" s="174">
        <v>0</v>
      </c>
      <c r="BD51" s="180"/>
    </row>
    <row r="52" spans="1:59" ht="15.75" customHeight="1" x14ac:dyDescent="0.2">
      <c r="P52" s="617" t="s">
        <v>404</v>
      </c>
      <c r="Q52" s="808">
        <v>13</v>
      </c>
      <c r="AG52" s="532"/>
      <c r="AH52" s="560" t="s">
        <v>101</v>
      </c>
      <c r="AI52" s="561"/>
      <c r="AJ52" s="520"/>
      <c r="AK52" s="177"/>
      <c r="AL52" s="177"/>
      <c r="AM52" s="177"/>
      <c r="AN52" s="177"/>
      <c r="AO52" s="177"/>
      <c r="AP52" s="177"/>
      <c r="AQ52" s="177"/>
      <c r="AR52" s="177"/>
      <c r="AS52" s="177"/>
      <c r="AT52" s="177"/>
      <c r="AU52" s="177"/>
      <c r="AV52" s="174">
        <f t="shared" si="6"/>
        <v>0</v>
      </c>
      <c r="AW52" s="534"/>
      <c r="AX52" s="176" t="s">
        <v>101</v>
      </c>
      <c r="AY52" s="174">
        <v>0</v>
      </c>
      <c r="BD52" s="180"/>
    </row>
    <row r="53" spans="1:59" x14ac:dyDescent="0.2">
      <c r="P53" s="792" t="s">
        <v>412</v>
      </c>
      <c r="Q53" s="807">
        <v>11</v>
      </c>
      <c r="AG53" s="532"/>
      <c r="AH53" s="560" t="s">
        <v>107</v>
      </c>
      <c r="AI53" s="561"/>
      <c r="AJ53" s="175"/>
      <c r="AK53" s="175"/>
      <c r="AL53" s="175"/>
      <c r="AM53" s="175"/>
      <c r="AN53" s="175"/>
      <c r="AO53" s="175"/>
      <c r="AP53" s="175"/>
      <c r="AQ53" s="175"/>
      <c r="AR53" s="175"/>
      <c r="AS53" s="175"/>
      <c r="AT53" s="175"/>
      <c r="AU53" s="175"/>
      <c r="AV53" s="174">
        <f t="shared" si="6"/>
        <v>0</v>
      </c>
      <c r="AW53" s="534"/>
      <c r="AX53" s="176" t="s">
        <v>106</v>
      </c>
      <c r="AY53" s="174">
        <v>1</v>
      </c>
      <c r="BD53" s="180"/>
      <c r="BE53" s="180"/>
      <c r="BF53" s="180"/>
      <c r="BG53" s="180"/>
    </row>
    <row r="54" spans="1:59" ht="18.75" customHeight="1" x14ac:dyDescent="0.25">
      <c r="P54" s="618" t="s">
        <v>407</v>
      </c>
      <c r="Q54" s="807">
        <v>7</v>
      </c>
      <c r="AG54" s="532"/>
      <c r="AH54" s="560" t="s">
        <v>106</v>
      </c>
      <c r="AI54" s="561"/>
      <c r="AJ54" s="177"/>
      <c r="AK54" s="177"/>
      <c r="AL54" s="177"/>
      <c r="AM54" s="177"/>
      <c r="AN54" s="177"/>
      <c r="AO54" s="177"/>
      <c r="AP54" s="177"/>
      <c r="AQ54" s="177"/>
      <c r="AR54" s="177">
        <v>1</v>
      </c>
      <c r="AS54" s="177"/>
      <c r="AT54" s="177"/>
      <c r="AU54" s="177"/>
      <c r="AV54" s="174">
        <f t="shared" si="6"/>
        <v>1</v>
      </c>
      <c r="AW54" s="534"/>
      <c r="AX54" s="176" t="s">
        <v>99</v>
      </c>
      <c r="AY54" s="174">
        <v>0</v>
      </c>
      <c r="BD54" s="185"/>
      <c r="BE54" s="185"/>
    </row>
    <row r="55" spans="1:59" ht="15" x14ac:dyDescent="0.2">
      <c r="A55" s="183" t="s">
        <v>317</v>
      </c>
      <c r="P55" s="618" t="s">
        <v>401</v>
      </c>
      <c r="Q55" s="807">
        <v>4</v>
      </c>
      <c r="AG55" s="532"/>
      <c r="AH55" s="560" t="s">
        <v>99</v>
      </c>
      <c r="AI55" s="561"/>
      <c r="AJ55" s="175"/>
      <c r="AK55" s="175"/>
      <c r="AL55" s="175"/>
      <c r="AM55" s="175"/>
      <c r="AN55" s="175"/>
      <c r="AO55" s="175"/>
      <c r="AP55" s="175"/>
      <c r="AQ55" s="175"/>
      <c r="AR55" s="175"/>
      <c r="AS55" s="175"/>
      <c r="AT55" s="175"/>
      <c r="AU55" s="175"/>
      <c r="AV55" s="174">
        <f t="shared" si="6"/>
        <v>0</v>
      </c>
      <c r="AW55" s="534"/>
      <c r="AX55" s="176" t="s">
        <v>105</v>
      </c>
      <c r="AY55" s="174">
        <v>0</v>
      </c>
    </row>
    <row r="56" spans="1:59" ht="13.5" thickBot="1" x14ac:dyDescent="0.25">
      <c r="P56" s="618" t="s">
        <v>409</v>
      </c>
      <c r="Q56" s="807">
        <v>4</v>
      </c>
      <c r="AG56" s="532"/>
      <c r="AH56" s="560" t="s">
        <v>105</v>
      </c>
      <c r="AI56" s="561"/>
      <c r="AJ56" s="177"/>
      <c r="AK56" s="177"/>
      <c r="AL56" s="177"/>
      <c r="AM56" s="177"/>
      <c r="AN56" s="177"/>
      <c r="AO56" s="177"/>
      <c r="AP56" s="177"/>
      <c r="AQ56" s="177"/>
      <c r="AR56" s="177"/>
      <c r="AS56" s="177"/>
      <c r="AT56" s="177"/>
      <c r="AU56" s="177"/>
      <c r="AV56" s="174">
        <f t="shared" si="6"/>
        <v>0</v>
      </c>
      <c r="AW56" s="534"/>
      <c r="AX56" s="176" t="s">
        <v>97</v>
      </c>
      <c r="AY56" s="174">
        <v>0</v>
      </c>
    </row>
    <row r="57" spans="1:59" ht="13.5" thickBot="1" x14ac:dyDescent="0.25">
      <c r="A57" s="751"/>
      <c r="B57" s="474" t="s">
        <v>222</v>
      </c>
      <c r="C57" s="474" t="s">
        <v>223</v>
      </c>
      <c r="D57" s="474" t="s">
        <v>224</v>
      </c>
      <c r="E57" s="474" t="s">
        <v>225</v>
      </c>
      <c r="F57" s="474" t="s">
        <v>226</v>
      </c>
      <c r="G57" s="474" t="s">
        <v>227</v>
      </c>
      <c r="H57" s="474" t="s">
        <v>228</v>
      </c>
      <c r="I57" s="469" t="s">
        <v>229</v>
      </c>
      <c r="J57" s="474" t="s">
        <v>230</v>
      </c>
      <c r="K57" s="474" t="s">
        <v>231</v>
      </c>
      <c r="L57" s="474" t="s">
        <v>232</v>
      </c>
      <c r="M57" s="613" t="s">
        <v>233</v>
      </c>
      <c r="N57" s="474" t="s">
        <v>148</v>
      </c>
      <c r="P57" s="618" t="s">
        <v>410</v>
      </c>
      <c r="Q57" s="807">
        <v>3</v>
      </c>
      <c r="AG57" s="532"/>
      <c r="AH57" s="560" t="s">
        <v>97</v>
      </c>
      <c r="AI57" s="561"/>
      <c r="AJ57" s="175"/>
      <c r="AK57" s="175"/>
      <c r="AL57" s="175"/>
      <c r="AM57" s="175"/>
      <c r="AN57" s="175"/>
      <c r="AO57" s="175"/>
      <c r="AP57" s="175"/>
      <c r="AQ57" s="175"/>
      <c r="AR57" s="175"/>
      <c r="AS57" s="175"/>
      <c r="AT57" s="175"/>
      <c r="AU57" s="175"/>
      <c r="AV57" s="174">
        <f t="shared" si="6"/>
        <v>0</v>
      </c>
      <c r="AW57" s="534"/>
      <c r="AX57" s="176" t="s">
        <v>102</v>
      </c>
      <c r="AY57" s="174">
        <v>0</v>
      </c>
    </row>
    <row r="58" spans="1:59" x14ac:dyDescent="0.2">
      <c r="A58" s="577">
        <v>2025</v>
      </c>
      <c r="B58" s="575">
        <v>3</v>
      </c>
      <c r="C58" s="480">
        <v>0</v>
      </c>
      <c r="D58" s="480">
        <v>1</v>
      </c>
      <c r="E58" s="480">
        <v>1</v>
      </c>
      <c r="F58" s="480">
        <v>1</v>
      </c>
      <c r="G58" s="480">
        <v>1</v>
      </c>
      <c r="H58" s="480">
        <v>1</v>
      </c>
      <c r="I58" s="480">
        <v>1</v>
      </c>
      <c r="J58" s="480">
        <v>2</v>
      </c>
      <c r="K58" s="480">
        <v>1</v>
      </c>
      <c r="L58" s="480">
        <v>0</v>
      </c>
      <c r="M58" s="614">
        <v>1</v>
      </c>
      <c r="N58" s="617">
        <f>SUM(B58:M58)</f>
        <v>13</v>
      </c>
      <c r="P58" s="618" t="s">
        <v>411</v>
      </c>
      <c r="Q58" s="807">
        <v>3</v>
      </c>
      <c r="AG58" s="532"/>
      <c r="AH58" s="560" t="s">
        <v>102</v>
      </c>
      <c r="AI58" s="561"/>
      <c r="AJ58" s="177"/>
      <c r="AK58" s="177"/>
      <c r="AL58" s="177"/>
      <c r="AM58" s="177"/>
      <c r="AN58" s="177"/>
      <c r="AO58" s="177"/>
      <c r="AP58" s="177"/>
      <c r="AQ58" s="177"/>
      <c r="AR58" s="177"/>
      <c r="AS58" s="177"/>
      <c r="AT58" s="177"/>
      <c r="AU58" s="177"/>
      <c r="AV58" s="174">
        <f t="shared" si="6"/>
        <v>0</v>
      </c>
      <c r="AW58" s="534"/>
      <c r="AX58" s="176" t="s">
        <v>100</v>
      </c>
      <c r="AY58" s="174">
        <v>0</v>
      </c>
    </row>
    <row r="59" spans="1:59" x14ac:dyDescent="0.2">
      <c r="A59" s="569">
        <v>2026</v>
      </c>
      <c r="B59" s="468">
        <v>1</v>
      </c>
      <c r="C59" s="113">
        <f t="shared" ref="C59:H59" si="8">C17</f>
        <v>2</v>
      </c>
      <c r="D59" s="113">
        <f t="shared" si="8"/>
        <v>2</v>
      </c>
      <c r="E59" s="113">
        <f t="shared" si="8"/>
        <v>1</v>
      </c>
      <c r="F59" s="113">
        <f t="shared" si="8"/>
        <v>0</v>
      </c>
      <c r="G59" s="113">
        <f t="shared" si="8"/>
        <v>2</v>
      </c>
      <c r="H59" s="113">
        <f t="shared" si="8"/>
        <v>3</v>
      </c>
      <c r="I59" s="113">
        <f>I17</f>
        <v>2</v>
      </c>
      <c r="J59" s="113">
        <f>J17</f>
        <v>1</v>
      </c>
      <c r="K59" s="113"/>
      <c r="L59" s="113"/>
      <c r="M59" s="112"/>
      <c r="N59" s="618">
        <f>SUM(B59:M59)</f>
        <v>14</v>
      </c>
      <c r="P59" s="618" t="s">
        <v>405</v>
      </c>
      <c r="Q59" s="807">
        <v>2</v>
      </c>
      <c r="AG59" s="532"/>
      <c r="AH59" s="560" t="s">
        <v>100</v>
      </c>
      <c r="AI59" s="561"/>
      <c r="AJ59" s="175"/>
      <c r="AK59" s="175"/>
      <c r="AL59" s="175"/>
      <c r="AM59" s="175"/>
      <c r="AN59" s="175"/>
      <c r="AO59" s="175"/>
      <c r="AP59" s="175"/>
      <c r="AQ59" s="175"/>
      <c r="AR59" s="175"/>
      <c r="AS59" s="175"/>
      <c r="AT59" s="175"/>
      <c r="AU59" s="175"/>
      <c r="AV59" s="174">
        <f t="shared" si="6"/>
        <v>0</v>
      </c>
      <c r="AW59" s="534"/>
      <c r="AX59" s="176" t="s">
        <v>98</v>
      </c>
      <c r="AY59" s="174">
        <v>0</v>
      </c>
    </row>
    <row r="60" spans="1:59" x14ac:dyDescent="0.2">
      <c r="A60" s="569"/>
      <c r="B60" s="576"/>
      <c r="C60" s="525"/>
      <c r="D60" s="525"/>
      <c r="E60" s="525"/>
      <c r="F60" s="525"/>
      <c r="G60" s="525"/>
      <c r="H60" s="525"/>
      <c r="I60" s="525"/>
      <c r="J60" s="525"/>
      <c r="K60" s="525"/>
      <c r="L60" s="525"/>
      <c r="M60" s="615"/>
      <c r="N60" s="619">
        <f>SUM(B60:M60)</f>
        <v>0</v>
      </c>
      <c r="P60" s="618" t="s">
        <v>408</v>
      </c>
      <c r="Q60" s="807">
        <v>2</v>
      </c>
      <c r="AG60" s="532"/>
      <c r="AH60" s="560" t="s">
        <v>98</v>
      </c>
      <c r="AI60" s="561"/>
      <c r="AJ60" s="177"/>
      <c r="AK60" s="177"/>
      <c r="AL60" s="177"/>
      <c r="AM60" s="177"/>
      <c r="AN60" s="177"/>
      <c r="AO60" s="177"/>
      <c r="AP60" s="177"/>
      <c r="AQ60" s="177"/>
      <c r="AR60" s="177"/>
      <c r="AS60" s="177"/>
      <c r="AT60" s="177"/>
      <c r="AU60" s="177"/>
      <c r="AV60" s="174">
        <f t="shared" si="6"/>
        <v>0</v>
      </c>
      <c r="AW60" s="534"/>
      <c r="AX60" s="176" t="s">
        <v>96</v>
      </c>
      <c r="AY60" s="174">
        <v>0</v>
      </c>
    </row>
    <row r="61" spans="1:59" ht="13.5" thickBot="1" x14ac:dyDescent="0.25">
      <c r="A61" s="569"/>
      <c r="B61" s="576"/>
      <c r="C61" s="579"/>
      <c r="D61" s="525"/>
      <c r="E61" s="525"/>
      <c r="F61" s="525"/>
      <c r="G61" s="525"/>
      <c r="H61" s="525"/>
      <c r="I61" s="525"/>
      <c r="J61" s="525"/>
      <c r="K61" s="525"/>
      <c r="L61" s="525"/>
      <c r="M61" s="615"/>
      <c r="N61" s="619">
        <f>SUM(B61:M61)</f>
        <v>0</v>
      </c>
      <c r="P61" s="618" t="s">
        <v>402</v>
      </c>
      <c r="Q61" s="807">
        <v>1</v>
      </c>
      <c r="AG61" s="532"/>
      <c r="AH61" s="560" t="s">
        <v>96</v>
      </c>
      <c r="AI61" s="561"/>
      <c r="AJ61" s="175"/>
      <c r="AK61" s="175"/>
      <c r="AL61" s="175"/>
      <c r="AM61" s="175"/>
      <c r="AN61" s="175"/>
      <c r="AO61" s="175"/>
      <c r="AP61" s="175"/>
      <c r="AQ61" s="175"/>
      <c r="AR61" s="175"/>
      <c r="AS61" s="175"/>
      <c r="AT61" s="175"/>
      <c r="AU61" s="175"/>
      <c r="AV61" s="174">
        <f t="shared" si="6"/>
        <v>0</v>
      </c>
      <c r="AW61" s="534"/>
      <c r="AX61" s="176" t="s">
        <v>95</v>
      </c>
      <c r="AY61" s="174">
        <v>0</v>
      </c>
    </row>
    <row r="62" spans="1:59" ht="13.5" thickBot="1" x14ac:dyDescent="0.25">
      <c r="A62" s="578"/>
      <c r="B62" s="464"/>
      <c r="C62" s="465"/>
      <c r="D62" s="465"/>
      <c r="E62" s="465"/>
      <c r="F62" s="465"/>
      <c r="G62" s="465"/>
      <c r="H62" s="465"/>
      <c r="I62" s="465"/>
      <c r="J62" s="465"/>
      <c r="K62" s="465"/>
      <c r="L62" s="465"/>
      <c r="M62" s="616"/>
      <c r="N62" s="620"/>
      <c r="P62" s="620" t="s">
        <v>406</v>
      </c>
      <c r="Q62" s="610">
        <v>1</v>
      </c>
      <c r="AG62" s="532"/>
      <c r="AH62" s="560" t="s">
        <v>95</v>
      </c>
      <c r="AI62" s="561"/>
      <c r="AJ62" s="177"/>
      <c r="AK62" s="177"/>
      <c r="AL62" s="177"/>
      <c r="AM62" s="177"/>
      <c r="AN62" s="177"/>
      <c r="AO62" s="177"/>
      <c r="AP62" s="177"/>
      <c r="AQ62" s="177"/>
      <c r="AR62" s="177"/>
      <c r="AS62" s="177"/>
      <c r="AT62" s="177"/>
      <c r="AU62" s="177"/>
      <c r="AV62" s="174">
        <f t="shared" si="6"/>
        <v>0</v>
      </c>
      <c r="AW62" s="534"/>
      <c r="AX62" s="176" t="s">
        <v>94</v>
      </c>
      <c r="AY62" s="174">
        <v>0</v>
      </c>
    </row>
    <row r="63" spans="1:59" ht="13.5" thickBot="1" x14ac:dyDescent="0.25">
      <c r="AG63" s="532"/>
      <c r="AH63" s="560" t="s">
        <v>94</v>
      </c>
      <c r="AI63" s="561"/>
      <c r="AJ63" s="175"/>
      <c r="AK63" s="175"/>
      <c r="AL63" s="175"/>
      <c r="AM63" s="175"/>
      <c r="AN63" s="175"/>
      <c r="AO63" s="175"/>
      <c r="AP63" s="175"/>
      <c r="AQ63" s="175"/>
      <c r="AR63" s="175"/>
      <c r="AS63" s="175"/>
      <c r="AT63" s="175"/>
      <c r="AU63" s="175"/>
      <c r="AV63" s="174">
        <f t="shared" si="6"/>
        <v>0</v>
      </c>
      <c r="AW63" s="534"/>
    </row>
    <row r="64" spans="1:59" ht="13.5" thickBot="1" x14ac:dyDescent="0.25">
      <c r="AG64" s="532"/>
      <c r="AH64" s="558" t="s">
        <v>93</v>
      </c>
      <c r="AI64" s="559"/>
      <c r="AJ64" s="172"/>
      <c r="AK64" s="172"/>
      <c r="AL64" s="172"/>
      <c r="AM64" s="172"/>
      <c r="AN64" s="172"/>
      <c r="AO64" s="172"/>
      <c r="AP64" s="172"/>
      <c r="AQ64" s="172"/>
      <c r="AR64" s="172"/>
      <c r="AS64" s="172"/>
      <c r="AT64" s="172"/>
      <c r="AU64" s="172"/>
      <c r="AV64" s="533"/>
      <c r="AW64" s="534"/>
    </row>
    <row r="65" spans="33:51" x14ac:dyDescent="0.2">
      <c r="AG65" s="532"/>
      <c r="AH65" s="533"/>
      <c r="AI65" s="533"/>
      <c r="AJ65" s="533"/>
      <c r="AK65" s="533"/>
      <c r="AL65" s="533"/>
      <c r="AM65" s="533"/>
      <c r="AN65" s="533"/>
      <c r="AO65" s="533"/>
      <c r="AP65" s="533"/>
      <c r="AQ65" s="533"/>
      <c r="AR65" s="533"/>
      <c r="AS65" s="533"/>
      <c r="AT65" s="533"/>
      <c r="AU65" s="533"/>
      <c r="AV65" s="533"/>
      <c r="AW65" s="533"/>
      <c r="AX65" s="533"/>
      <c r="AY65" s="534">
        <f>SUM(AV37:AV63)</f>
        <v>6</v>
      </c>
    </row>
    <row r="66" spans="33:51" x14ac:dyDescent="0.2">
      <c r="AG66" s="532"/>
      <c r="AH66" s="533"/>
      <c r="AI66" s="533"/>
      <c r="AJ66" s="533"/>
      <c r="AK66" s="533"/>
      <c r="AL66" s="533"/>
      <c r="AM66" s="533"/>
      <c r="AN66" s="533"/>
      <c r="AO66" s="533"/>
      <c r="AP66" s="533"/>
      <c r="AQ66" s="533"/>
      <c r="AR66" s="533"/>
      <c r="AS66" s="533"/>
      <c r="AT66" s="533"/>
      <c r="AU66" s="533"/>
      <c r="AV66" s="533"/>
      <c r="AW66" s="533"/>
      <c r="AX66" s="533"/>
      <c r="AY66" s="534">
        <f>SUM(AJ64:AU64)</f>
        <v>0</v>
      </c>
    </row>
    <row r="67" spans="33:51" x14ac:dyDescent="0.2">
      <c r="AG67" s="532"/>
      <c r="AH67" s="533"/>
      <c r="AI67" s="533"/>
      <c r="AJ67" s="533"/>
      <c r="AK67" s="533"/>
      <c r="AL67" s="533"/>
      <c r="AM67" s="533"/>
      <c r="AN67" s="533"/>
      <c r="AO67" s="533"/>
      <c r="AP67" s="533"/>
      <c r="AQ67" s="533"/>
      <c r="AR67" s="533"/>
      <c r="AS67" s="533"/>
      <c r="AT67" s="533"/>
      <c r="AU67" s="533"/>
      <c r="AV67" s="533"/>
      <c r="AW67" s="533"/>
      <c r="AX67" s="533"/>
      <c r="AY67" s="534"/>
    </row>
    <row r="68" spans="33:51" ht="13.5" thickBot="1" x14ac:dyDescent="0.25">
      <c r="AG68" s="535"/>
      <c r="AH68" s="537"/>
      <c r="AI68" s="537"/>
      <c r="AJ68" s="537"/>
      <c r="AK68" s="537"/>
      <c r="AL68" s="537"/>
      <c r="AM68" s="537"/>
      <c r="AN68" s="537"/>
      <c r="AO68" s="537"/>
      <c r="AP68" s="537"/>
      <c r="AQ68" s="537"/>
      <c r="AR68" s="537"/>
      <c r="AS68" s="537"/>
      <c r="AT68" s="537"/>
      <c r="AU68" s="537"/>
      <c r="AV68" s="537"/>
      <c r="AW68" s="537"/>
      <c r="AX68" s="537"/>
      <c r="AY68" s="538"/>
    </row>
    <row r="69" spans="33:51" ht="13.5" thickBot="1" x14ac:dyDescent="0.25">
      <c r="AT69" s="180"/>
    </row>
    <row r="70" spans="33:51" ht="13.5" thickBot="1" x14ac:dyDescent="0.25">
      <c r="AH70" s="126" t="s">
        <v>238</v>
      </c>
      <c r="AI70" s="128" t="s">
        <v>60</v>
      </c>
      <c r="AJ70" s="128" t="s">
        <v>59</v>
      </c>
      <c r="AK70" s="128" t="s">
        <v>58</v>
      </c>
      <c r="AL70" s="128" t="s">
        <v>57</v>
      </c>
      <c r="AM70" s="128" t="s">
        <v>56</v>
      </c>
      <c r="AN70" s="128" t="s">
        <v>55</v>
      </c>
      <c r="AO70" s="128" t="s">
        <v>54</v>
      </c>
      <c r="AP70" s="128" t="s">
        <v>53</v>
      </c>
      <c r="AQ70" s="128" t="s">
        <v>52</v>
      </c>
      <c r="AR70" s="128" t="s">
        <v>51</v>
      </c>
      <c r="AS70" s="128" t="s">
        <v>50</v>
      </c>
      <c r="AT70" s="128" t="s">
        <v>49</v>
      </c>
      <c r="AU70" s="463" t="s">
        <v>148</v>
      </c>
    </row>
    <row r="71" spans="33:51" ht="15.75" thickBot="1" x14ac:dyDescent="0.3">
      <c r="AH71" s="498">
        <v>2025</v>
      </c>
      <c r="AI71" s="500">
        <v>5</v>
      </c>
      <c r="AJ71" s="500">
        <v>0</v>
      </c>
      <c r="AK71" s="500">
        <v>4</v>
      </c>
      <c r="AL71" s="500">
        <v>5</v>
      </c>
      <c r="AM71" s="500">
        <v>2</v>
      </c>
      <c r="AN71" s="500">
        <v>4</v>
      </c>
      <c r="AO71" s="500">
        <v>6</v>
      </c>
      <c r="AP71" s="500">
        <v>6</v>
      </c>
      <c r="AQ71" s="500">
        <v>4</v>
      </c>
      <c r="AR71" s="500">
        <v>2</v>
      </c>
      <c r="AS71" s="500">
        <v>1</v>
      </c>
      <c r="AT71" s="500">
        <v>2</v>
      </c>
      <c r="AU71" s="109">
        <f>SUM(AI71:AT71)</f>
        <v>41</v>
      </c>
    </row>
    <row r="72" spans="33:51" ht="13.5" thickBot="1" x14ac:dyDescent="0.25">
      <c r="AH72" s="498">
        <v>2026</v>
      </c>
      <c r="AI72" s="501">
        <f>B7</f>
        <v>5</v>
      </c>
      <c r="AJ72" s="501">
        <f>Dash!D41</f>
        <v>6</v>
      </c>
      <c r="AK72" s="501">
        <f>D7</f>
        <v>5</v>
      </c>
      <c r="AL72" s="501">
        <f>E7</f>
        <v>6</v>
      </c>
      <c r="AM72" s="501">
        <f>F7</f>
        <v>2</v>
      </c>
      <c r="AN72" s="501">
        <f>Dash!H41</f>
        <v>4</v>
      </c>
      <c r="AO72" s="501">
        <f>H7</f>
        <v>5</v>
      </c>
      <c r="AP72" s="501">
        <f>Dash!J41</f>
        <v>3</v>
      </c>
      <c r="AQ72" s="501">
        <f>J7</f>
        <v>4</v>
      </c>
      <c r="AR72" s="501">
        <f>K7</f>
        <v>0</v>
      </c>
      <c r="AS72" s="501">
        <f>L7</f>
        <v>0</v>
      </c>
      <c r="AT72" s="519"/>
      <c r="AU72" s="100">
        <f>SUM(AI72:AT72)</f>
        <v>40</v>
      </c>
      <c r="AV72" s="502">
        <f>(AU72-AU71)/AU71</f>
        <v>-2.4390243902439025E-2</v>
      </c>
    </row>
    <row r="74" spans="33:51" ht="15" x14ac:dyDescent="0.2">
      <c r="AT74" s="183"/>
      <c r="AU74" s="183"/>
    </row>
    <row r="81" spans="1:48" x14ac:dyDescent="0.2">
      <c r="B81" s="98" t="s">
        <v>255</v>
      </c>
      <c r="C81" s="98" t="s">
        <v>316</v>
      </c>
      <c r="D81" s="98" t="s">
        <v>318</v>
      </c>
    </row>
    <row r="82" spans="1:48" x14ac:dyDescent="0.2">
      <c r="A82" s="180" t="s">
        <v>254</v>
      </c>
    </row>
    <row r="83" spans="1:48" x14ac:dyDescent="0.2">
      <c r="A83" s="180" t="s">
        <v>315</v>
      </c>
    </row>
    <row r="84" spans="1:48" x14ac:dyDescent="0.2">
      <c r="A84" s="180"/>
    </row>
    <row r="85" spans="1:48" x14ac:dyDescent="0.2">
      <c r="A85" s="180"/>
    </row>
    <row r="86" spans="1:48" x14ac:dyDescent="0.2">
      <c r="A86" s="180"/>
    </row>
    <row r="87" spans="1:48" x14ac:dyDescent="0.2">
      <c r="A87" s="180"/>
    </row>
    <row r="88" spans="1:48" x14ac:dyDescent="0.2">
      <c r="A88" s="180"/>
    </row>
    <row r="89" spans="1:48" x14ac:dyDescent="0.2">
      <c r="A89" s="180"/>
    </row>
    <row r="90" spans="1:48" x14ac:dyDescent="0.2">
      <c r="A90" s="180"/>
    </row>
    <row r="91" spans="1:48" ht="13.5" thickBot="1" x14ac:dyDescent="0.25">
      <c r="A91" s="180"/>
    </row>
    <row r="92" spans="1:48" ht="13.5" thickBot="1" x14ac:dyDescent="0.25">
      <c r="AH92" s="126" t="s">
        <v>236</v>
      </c>
      <c r="AI92" s="105" t="s">
        <v>60</v>
      </c>
      <c r="AJ92" s="128" t="s">
        <v>59</v>
      </c>
      <c r="AK92" s="128" t="s">
        <v>58</v>
      </c>
      <c r="AL92" s="128" t="s">
        <v>57</v>
      </c>
      <c r="AM92" s="128" t="s">
        <v>56</v>
      </c>
      <c r="AN92" s="128" t="s">
        <v>55</v>
      </c>
      <c r="AO92" s="128" t="s">
        <v>54</v>
      </c>
      <c r="AP92" s="128" t="s">
        <v>53</v>
      </c>
      <c r="AQ92" s="128" t="s">
        <v>52</v>
      </c>
      <c r="AR92" s="128" t="s">
        <v>51</v>
      </c>
      <c r="AS92" s="128" t="s">
        <v>50</v>
      </c>
      <c r="AT92" s="128" t="s">
        <v>49</v>
      </c>
      <c r="AU92" s="499" t="s">
        <v>148</v>
      </c>
    </row>
    <row r="93" spans="1:48" ht="13.5" thickBot="1" x14ac:dyDescent="0.25">
      <c r="AH93" s="499">
        <v>2025</v>
      </c>
      <c r="AI93" s="468"/>
      <c r="AJ93" s="113"/>
      <c r="AK93" s="113"/>
      <c r="AL93" s="113"/>
      <c r="AM93" s="113"/>
      <c r="AN93" s="113"/>
      <c r="AO93" s="113"/>
      <c r="AP93" s="113"/>
      <c r="AQ93" s="113"/>
      <c r="AR93" s="113"/>
      <c r="AS93" s="113"/>
      <c r="AT93" s="113"/>
      <c r="AU93" s="470">
        <f>SUM(AI93:AT93)</f>
        <v>0</v>
      </c>
    </row>
    <row r="94" spans="1:48" ht="13.5" thickBot="1" x14ac:dyDescent="0.25">
      <c r="AH94" s="610">
        <v>2026</v>
      </c>
      <c r="AI94" s="471"/>
      <c r="AJ94" s="472">
        <v>1</v>
      </c>
      <c r="AK94" s="472">
        <v>1</v>
      </c>
      <c r="AL94" s="472">
        <v>1</v>
      </c>
      <c r="AM94" s="472"/>
      <c r="AN94" s="472"/>
      <c r="AO94" s="472"/>
      <c r="AP94" s="472"/>
      <c r="AQ94" s="472"/>
      <c r="AR94" s="472"/>
      <c r="AS94" s="472"/>
      <c r="AT94" s="472"/>
      <c r="AU94" s="470">
        <f>SUM(AI94:AT94)</f>
        <v>3</v>
      </c>
      <c r="AV94" s="562" t="e">
        <f>(AU94-AU93)/AU93</f>
        <v>#DIV/0!</v>
      </c>
    </row>
    <row r="96" spans="1:48" x14ac:dyDescent="0.2">
      <c r="B96" s="98" t="s">
        <v>294</v>
      </c>
    </row>
    <row r="97" spans="1:33" ht="15" x14ac:dyDescent="0.25">
      <c r="A97" t="s">
        <v>290</v>
      </c>
    </row>
    <row r="98" spans="1:33" ht="15" x14ac:dyDescent="0.25">
      <c r="A98" t="s">
        <v>288</v>
      </c>
    </row>
    <row r="99" spans="1:33" ht="15" x14ac:dyDescent="0.25">
      <c r="A99" t="s">
        <v>287</v>
      </c>
    </row>
    <row r="100" spans="1:33" ht="15" x14ac:dyDescent="0.25">
      <c r="A100" t="s">
        <v>289</v>
      </c>
    </row>
    <row r="101" spans="1:33" ht="15" x14ac:dyDescent="0.25">
      <c r="A101" t="s">
        <v>291</v>
      </c>
    </row>
    <row r="102" spans="1:33" ht="15" x14ac:dyDescent="0.25">
      <c r="A102" t="s">
        <v>292</v>
      </c>
    </row>
    <row r="103" spans="1:33" ht="15" x14ac:dyDescent="0.25">
      <c r="A103" t="s">
        <v>293</v>
      </c>
    </row>
    <row r="104" spans="1:33" x14ac:dyDescent="0.2">
      <c r="A104" s="98" t="s">
        <v>300</v>
      </c>
      <c r="AG104" s="181"/>
    </row>
    <row r="105" spans="1:33" x14ac:dyDescent="0.2">
      <c r="A105" s="98" t="s">
        <v>298</v>
      </c>
    </row>
    <row r="107" spans="1:33" x14ac:dyDescent="0.2">
      <c r="AG107" s="179"/>
    </row>
    <row r="108" spans="1:33" x14ac:dyDescent="0.2">
      <c r="AG108" s="179"/>
    </row>
    <row r="114" spans="1:47" ht="13.5" thickBot="1" x14ac:dyDescent="0.25"/>
    <row r="115" spans="1:47" ht="13.5" thickBot="1" x14ac:dyDescent="0.25">
      <c r="AH115" s="126">
        <v>2026</v>
      </c>
      <c r="AI115" s="127" t="s">
        <v>60</v>
      </c>
      <c r="AJ115" s="127" t="s">
        <v>59</v>
      </c>
      <c r="AK115" s="127" t="s">
        <v>58</v>
      </c>
      <c r="AL115" s="127" t="s">
        <v>57</v>
      </c>
      <c r="AM115" s="127" t="s">
        <v>56</v>
      </c>
      <c r="AN115" s="127" t="s">
        <v>55</v>
      </c>
      <c r="AO115" s="127" t="s">
        <v>54</v>
      </c>
      <c r="AP115" s="127" t="s">
        <v>53</v>
      </c>
      <c r="AQ115" s="127" t="s">
        <v>52</v>
      </c>
      <c r="AR115" s="127" t="s">
        <v>51</v>
      </c>
      <c r="AS115" s="127" t="s">
        <v>50</v>
      </c>
      <c r="AT115" s="463" t="s">
        <v>49</v>
      </c>
      <c r="AU115" s="98" t="s">
        <v>148</v>
      </c>
    </row>
    <row r="116" spans="1:47" ht="13.5" thickBot="1" x14ac:dyDescent="0.25">
      <c r="AH116" s="126" t="s">
        <v>295</v>
      </c>
      <c r="AI116" s="630" cm="1">
        <f t="array" ref="AI116:AT116">B22:M22</f>
        <v>0</v>
      </c>
      <c r="AJ116" s="487">
        <v>0</v>
      </c>
      <c r="AK116" s="487">
        <v>1</v>
      </c>
      <c r="AL116" s="487">
        <v>4</v>
      </c>
      <c r="AM116" s="487">
        <v>0</v>
      </c>
      <c r="AN116" s="487">
        <v>2</v>
      </c>
      <c r="AO116" s="487">
        <v>0</v>
      </c>
      <c r="AP116" s="487">
        <v>0</v>
      </c>
      <c r="AQ116" s="487">
        <v>1</v>
      </c>
      <c r="AR116" s="487">
        <v>0</v>
      </c>
      <c r="AS116" s="487">
        <v>0</v>
      </c>
      <c r="AT116" s="487">
        <v>0</v>
      </c>
      <c r="AU116" s="98" cm="1">
        <f t="array" ref="AU116">SUM(AI11+AI116:AT116)</f>
        <v>8</v>
      </c>
    </row>
    <row r="117" spans="1:47" ht="13.5" thickBot="1" x14ac:dyDescent="0.25">
      <c r="AH117" s="110" t="s">
        <v>306</v>
      </c>
      <c r="AI117" s="565" cm="1">
        <f t="array" ref="AI117:AT117">B21:M21</f>
        <v>1</v>
      </c>
      <c r="AJ117" s="478">
        <v>1</v>
      </c>
      <c r="AK117" s="478">
        <v>0</v>
      </c>
      <c r="AL117" s="478">
        <v>0</v>
      </c>
      <c r="AM117" s="478">
        <v>2</v>
      </c>
      <c r="AN117" s="478">
        <v>0</v>
      </c>
      <c r="AO117" s="478">
        <v>2</v>
      </c>
      <c r="AP117" s="478">
        <v>0</v>
      </c>
      <c r="AQ117" s="478">
        <v>0</v>
      </c>
      <c r="AR117" s="478">
        <v>0</v>
      </c>
      <c r="AS117" s="478">
        <v>0</v>
      </c>
      <c r="AT117" s="478">
        <v>0</v>
      </c>
      <c r="AU117" s="98" cm="1">
        <f t="array" ref="AU117">SUM(AI12+AI117:AT117)</f>
        <v>6</v>
      </c>
    </row>
    <row r="118" spans="1:47" ht="15" x14ac:dyDescent="0.25">
      <c r="AL118"/>
      <c r="AM118"/>
      <c r="AN118"/>
      <c r="AO118"/>
      <c r="AP118"/>
      <c r="AQ118"/>
      <c r="AR118"/>
      <c r="AS118" s="580"/>
    </row>
    <row r="119" spans="1:47" ht="15.75" x14ac:dyDescent="0.25">
      <c r="A119" s="542" t="s">
        <v>375</v>
      </c>
      <c r="AL119"/>
      <c r="AM119"/>
      <c r="AN119"/>
      <c r="AO119"/>
      <c r="AP119"/>
      <c r="AQ119"/>
      <c r="AR119"/>
      <c r="AS119" s="580"/>
    </row>
    <row r="120" spans="1:47" ht="19.5" thickBot="1" x14ac:dyDescent="0.35">
      <c r="AI120" s="173">
        <f>SUM(BB33:BB59)</f>
        <v>0</v>
      </c>
      <c r="AL120"/>
      <c r="AM120"/>
      <c r="AN120"/>
      <c r="AO120"/>
      <c r="AP120"/>
      <c r="AQ120"/>
      <c r="AR120"/>
      <c r="AS120" s="580"/>
    </row>
    <row r="121" spans="1:47" ht="15.75" thickBot="1" x14ac:dyDescent="0.3">
      <c r="A121" s="745"/>
      <c r="B121" s="474" t="s">
        <v>60</v>
      </c>
      <c r="C121" s="474" t="s">
        <v>59</v>
      </c>
      <c r="D121" s="474" t="s">
        <v>58</v>
      </c>
      <c r="E121" s="474" t="s">
        <v>57</v>
      </c>
      <c r="F121" s="474" t="s">
        <v>56</v>
      </c>
      <c r="G121" s="474" t="s">
        <v>55</v>
      </c>
      <c r="H121" s="474" t="s">
        <v>54</v>
      </c>
      <c r="I121" s="474" t="s">
        <v>53</v>
      </c>
      <c r="J121" s="474" t="s">
        <v>52</v>
      </c>
      <c r="K121" s="474" t="s">
        <v>51</v>
      </c>
      <c r="L121" s="474" t="s">
        <v>50</v>
      </c>
      <c r="M121" s="474" t="s">
        <v>49</v>
      </c>
      <c r="N121" s="474" t="s">
        <v>148</v>
      </c>
      <c r="AL121"/>
      <c r="AM121" s="581"/>
      <c r="AN121" s="273"/>
      <c r="AO121" s="273"/>
      <c r="AP121" s="273"/>
      <c r="AQ121" s="273"/>
      <c r="AR121" s="582"/>
      <c r="AS121" s="580"/>
    </row>
    <row r="122" spans="1:47" ht="15" x14ac:dyDescent="0.25">
      <c r="A122" s="750">
        <v>2025</v>
      </c>
      <c r="B122" s="652">
        <v>2</v>
      </c>
      <c r="C122" s="124"/>
      <c r="D122" s="124">
        <v>2</v>
      </c>
      <c r="E122" s="124">
        <v>1</v>
      </c>
      <c r="F122" s="124">
        <v>1</v>
      </c>
      <c r="G122" s="124">
        <v>1</v>
      </c>
      <c r="H122" s="124">
        <v>3</v>
      </c>
      <c r="I122" s="124">
        <v>2</v>
      </c>
      <c r="J122" s="124">
        <v>1</v>
      </c>
      <c r="K122" s="124"/>
      <c r="L122" s="124">
        <v>1</v>
      </c>
      <c r="M122" s="124"/>
      <c r="N122" s="548">
        <f>SUM(B122:M122)</f>
        <v>14</v>
      </c>
      <c r="AL122"/>
      <c r="AM122" s="581"/>
      <c r="AN122" s="273"/>
      <c r="AO122" s="273"/>
      <c r="AP122" s="273"/>
      <c r="AQ122" s="273"/>
      <c r="AR122" s="582"/>
      <c r="AS122" s="580"/>
    </row>
    <row r="123" spans="1:47" ht="15.75" thickBot="1" x14ac:dyDescent="0.3">
      <c r="A123" s="578">
        <v>2026</v>
      </c>
      <c r="B123" s="742">
        <v>1</v>
      </c>
      <c r="C123" s="472"/>
      <c r="D123" s="472"/>
      <c r="E123" s="472"/>
      <c r="F123" s="472"/>
      <c r="G123" s="472"/>
      <c r="H123" s="472"/>
      <c r="I123" s="472"/>
      <c r="J123" s="472"/>
      <c r="K123" s="472"/>
      <c r="L123" s="472"/>
      <c r="M123" s="472"/>
      <c r="N123" s="473"/>
      <c r="AL123"/>
      <c r="AM123" s="581"/>
      <c r="AN123" s="273"/>
      <c r="AO123" s="273"/>
      <c r="AP123" s="273"/>
      <c r="AQ123" s="273"/>
      <c r="AR123" s="582"/>
      <c r="AS123" s="580"/>
    </row>
    <row r="124" spans="1:47" ht="15" x14ac:dyDescent="0.25">
      <c r="A124" s="527"/>
      <c r="AL124"/>
      <c r="AM124" s="581"/>
      <c r="AN124" s="273"/>
      <c r="AO124" s="273"/>
      <c r="AP124" s="273"/>
      <c r="AQ124" s="273"/>
      <c r="AR124" s="582"/>
      <c r="AS124" s="580"/>
    </row>
    <row r="125" spans="1:47" ht="15" x14ac:dyDescent="0.25">
      <c r="A125" s="527"/>
      <c r="AL125"/>
      <c r="AM125" s="581"/>
      <c r="AN125" s="273"/>
      <c r="AO125" s="273"/>
      <c r="AP125" s="273"/>
      <c r="AQ125" s="273"/>
      <c r="AR125" s="582"/>
      <c r="AS125" s="580"/>
    </row>
    <row r="126" spans="1:47" ht="15.75" thickBot="1" x14ac:dyDescent="0.3">
      <c r="A126" s="743" t="s">
        <v>370</v>
      </c>
      <c r="AL126"/>
      <c r="AM126" s="583"/>
      <c r="AN126" s="584"/>
      <c r="AO126" s="584"/>
      <c r="AP126" s="584"/>
      <c r="AQ126" s="584"/>
      <c r="AR126" s="585"/>
      <c r="AS126" s="580"/>
    </row>
    <row r="127" spans="1:47" ht="15.75" thickBot="1" x14ac:dyDescent="0.3">
      <c r="A127" s="745"/>
      <c r="B127" s="475" t="s">
        <v>60</v>
      </c>
      <c r="C127" s="474" t="s">
        <v>59</v>
      </c>
      <c r="D127" s="474" t="s">
        <v>58</v>
      </c>
      <c r="E127" s="474" t="s">
        <v>57</v>
      </c>
      <c r="F127" s="474" t="s">
        <v>56</v>
      </c>
      <c r="G127" s="474" t="s">
        <v>55</v>
      </c>
      <c r="H127" s="474" t="s">
        <v>54</v>
      </c>
      <c r="I127" s="474" t="s">
        <v>53</v>
      </c>
      <c r="J127" s="474" t="s">
        <v>52</v>
      </c>
      <c r="K127" s="474" t="s">
        <v>51</v>
      </c>
      <c r="L127" s="474" t="s">
        <v>50</v>
      </c>
      <c r="M127" s="474" t="s">
        <v>49</v>
      </c>
      <c r="N127" s="744" t="s">
        <v>148</v>
      </c>
      <c r="AG127" s="667"/>
      <c r="AH127" s="667"/>
      <c r="AI127" s="667"/>
      <c r="AJ127" s="667"/>
      <c r="AK127" s="667"/>
      <c r="AL127" s="667"/>
      <c r="AM127"/>
      <c r="AN127"/>
      <c r="AO127"/>
      <c r="AP127"/>
      <c r="AQ127"/>
      <c r="AR127"/>
      <c r="AS127" s="580"/>
    </row>
    <row r="128" spans="1:47" ht="15.75" thickBot="1" x14ac:dyDescent="0.3">
      <c r="A128" s="748">
        <v>2025</v>
      </c>
      <c r="B128" s="746">
        <v>3</v>
      </c>
      <c r="C128" s="124"/>
      <c r="D128" s="124">
        <v>2</v>
      </c>
      <c r="E128" s="124">
        <v>1</v>
      </c>
      <c r="F128" s="124">
        <v>1</v>
      </c>
      <c r="G128" s="124"/>
      <c r="H128" s="124">
        <v>2</v>
      </c>
      <c r="I128" s="124">
        <v>2</v>
      </c>
      <c r="J128" s="124"/>
      <c r="K128" s="124"/>
      <c r="L128" s="124"/>
      <c r="M128" s="124"/>
      <c r="N128" s="470">
        <f>SUM(B128:M128)</f>
        <v>11</v>
      </c>
      <c r="AG128" s="667"/>
      <c r="AH128" s="772" t="s">
        <v>389</v>
      </c>
      <c r="AI128" s="773"/>
      <c r="AJ128" s="773"/>
      <c r="AK128" s="774"/>
      <c r="AL128" s="667"/>
    </row>
    <row r="129" spans="1:38" ht="15.75" thickBot="1" x14ac:dyDescent="0.3">
      <c r="A129" s="749">
        <v>2026</v>
      </c>
      <c r="B129" s="471"/>
      <c r="C129" s="472">
        <v>1</v>
      </c>
      <c r="D129" s="472"/>
      <c r="E129" s="472">
        <v>3</v>
      </c>
      <c r="F129" s="472">
        <v>1</v>
      </c>
      <c r="G129" s="472">
        <v>2</v>
      </c>
      <c r="H129" s="472">
        <v>1</v>
      </c>
      <c r="I129" s="472">
        <f>I20</f>
        <v>0</v>
      </c>
      <c r="J129" s="472">
        <f>J20</f>
        <v>1</v>
      </c>
      <c r="K129" s="472"/>
      <c r="L129" s="472"/>
      <c r="M129" s="472"/>
      <c r="N129" s="470">
        <f>SUM(B129:M129)</f>
        <v>9</v>
      </c>
      <c r="AG129" s="667"/>
      <c r="AH129" s="667"/>
      <c r="AI129" s="667"/>
      <c r="AJ129" s="667"/>
      <c r="AK129" s="667"/>
      <c r="AL129" s="667"/>
    </row>
    <row r="130" spans="1:38" ht="15.75" thickBot="1" x14ac:dyDescent="0.3">
      <c r="AG130" s="667"/>
      <c r="AH130" s="697" t="s">
        <v>243</v>
      </c>
      <c r="AI130" s="697" t="s">
        <v>241</v>
      </c>
      <c r="AJ130" s="697" t="s">
        <v>320</v>
      </c>
      <c r="AK130" s="698" t="s">
        <v>242</v>
      </c>
      <c r="AL130" s="667"/>
    </row>
    <row r="131" spans="1:38" ht="15" x14ac:dyDescent="0.25">
      <c r="AG131" s="667"/>
      <c r="AH131" s="507"/>
      <c r="AI131" s="507"/>
      <c r="AJ131" s="507"/>
      <c r="AK131" s="507"/>
      <c r="AL131" s="667"/>
    </row>
    <row r="132" spans="1:38" ht="15" x14ac:dyDescent="0.25">
      <c r="AG132" s="667"/>
      <c r="AH132" s="512" t="s">
        <v>240</v>
      </c>
      <c r="AI132" s="508">
        <v>242</v>
      </c>
      <c r="AJ132" s="508">
        <f>Q4</f>
        <v>41</v>
      </c>
      <c r="AK132" s="509">
        <f>AI132/AJ132</f>
        <v>5.9024390243902438</v>
      </c>
      <c r="AL132" s="667"/>
    </row>
    <row r="133" spans="1:38" ht="15" x14ac:dyDescent="0.25">
      <c r="AG133" s="667"/>
      <c r="AH133" s="814" t="s">
        <v>330</v>
      </c>
      <c r="AI133" s="815"/>
      <c r="AJ133" s="815">
        <v>1</v>
      </c>
      <c r="AK133" s="816">
        <f>AI132/AJ133</f>
        <v>242</v>
      </c>
      <c r="AL133" s="667"/>
    </row>
    <row r="134" spans="1:38" ht="15" x14ac:dyDescent="0.25">
      <c r="AG134" s="667"/>
      <c r="AH134" s="512" t="s">
        <v>146</v>
      </c>
      <c r="AI134" s="508"/>
      <c r="AJ134" s="508">
        <f>SUM(N12,N11,N13,N15)</f>
        <v>6</v>
      </c>
      <c r="AK134" s="509">
        <f>AI132/AJ134</f>
        <v>40.333333333333336</v>
      </c>
      <c r="AL134" s="667"/>
    </row>
    <row r="135" spans="1:38" ht="15" x14ac:dyDescent="0.25">
      <c r="AG135" s="667"/>
      <c r="AH135" s="814" t="s">
        <v>319</v>
      </c>
      <c r="AI135" s="815"/>
      <c r="AJ135" s="815">
        <f>N17</f>
        <v>14</v>
      </c>
      <c r="AK135" s="816">
        <f>AI132/AJ135</f>
        <v>17.285714285714285</v>
      </c>
      <c r="AL135" s="667"/>
    </row>
    <row r="136" spans="1:38" ht="15" x14ac:dyDescent="0.25">
      <c r="AG136" s="667"/>
      <c r="AH136" s="512" t="s">
        <v>391</v>
      </c>
      <c r="AI136" s="508"/>
      <c r="AJ136" s="508">
        <f>N22</f>
        <v>8</v>
      </c>
      <c r="AK136" s="509">
        <f>AI132/AJ136</f>
        <v>30.25</v>
      </c>
      <c r="AL136" s="667"/>
    </row>
    <row r="137" spans="1:38" ht="15" x14ac:dyDescent="0.25">
      <c r="AG137" s="667"/>
      <c r="AH137" s="111" t="s">
        <v>376</v>
      </c>
      <c r="AI137" s="111"/>
      <c r="AJ137" s="817">
        <f>N19</f>
        <v>4</v>
      </c>
      <c r="AK137" s="816">
        <f>AI132/AJ137</f>
        <v>60.5</v>
      </c>
      <c r="AL137" s="667"/>
    </row>
    <row r="138" spans="1:38" ht="15" x14ac:dyDescent="0.25">
      <c r="AG138" s="667"/>
      <c r="AH138" s="512" t="s">
        <v>147</v>
      </c>
      <c r="AI138" s="508"/>
      <c r="AJ138" s="508">
        <f>N21</f>
        <v>6</v>
      </c>
      <c r="AK138" s="509">
        <f>AI132/AJ138</f>
        <v>40.333333333333336</v>
      </c>
      <c r="AL138" s="667"/>
    </row>
    <row r="139" spans="1:38" ht="15" x14ac:dyDescent="0.25">
      <c r="AG139" s="667"/>
      <c r="AH139" s="814" t="s">
        <v>251</v>
      </c>
      <c r="AI139" s="815"/>
      <c r="AJ139" s="815">
        <f>N20</f>
        <v>9</v>
      </c>
      <c r="AK139" s="816">
        <f>AI132/AJ139</f>
        <v>26.888888888888889</v>
      </c>
      <c r="AL139" s="667"/>
    </row>
    <row r="140" spans="1:38" ht="15.75" thickBot="1" x14ac:dyDescent="0.3">
      <c r="A140" s="743" t="s">
        <v>221</v>
      </c>
      <c r="AG140" s="667"/>
      <c r="AH140" s="818" t="s">
        <v>221</v>
      </c>
      <c r="AI140" s="819"/>
      <c r="AJ140" s="819">
        <f>N18</f>
        <v>1</v>
      </c>
      <c r="AK140" s="509">
        <f>AI132/AJ140</f>
        <v>242</v>
      </c>
      <c r="AL140" s="667"/>
    </row>
    <row r="141" spans="1:38" ht="15.75" thickBot="1" x14ac:dyDescent="0.3">
      <c r="A141" s="745"/>
      <c r="B141" s="475" t="s">
        <v>60</v>
      </c>
      <c r="C141" s="474" t="s">
        <v>59</v>
      </c>
      <c r="D141" s="474" t="s">
        <v>58</v>
      </c>
      <c r="E141" s="474" t="s">
        <v>57</v>
      </c>
      <c r="F141" s="474" t="s">
        <v>56</v>
      </c>
      <c r="G141" s="474" t="s">
        <v>55</v>
      </c>
      <c r="H141" s="474" t="s">
        <v>54</v>
      </c>
      <c r="I141" s="474" t="s">
        <v>53</v>
      </c>
      <c r="J141" s="474" t="s">
        <v>52</v>
      </c>
      <c r="K141" s="474" t="s">
        <v>51</v>
      </c>
      <c r="L141" s="474" t="s">
        <v>50</v>
      </c>
      <c r="M141" s="474" t="s">
        <v>49</v>
      </c>
      <c r="N141" s="474" t="s">
        <v>148</v>
      </c>
      <c r="AG141" s="667"/>
      <c r="AH141" s="511" t="s">
        <v>15</v>
      </c>
      <c r="AI141" s="510"/>
      <c r="AJ141" s="510">
        <f>N25</f>
        <v>5</v>
      </c>
      <c r="AK141" s="513">
        <f>AJ141/AJ132</f>
        <v>0.12195121951219512</v>
      </c>
      <c r="AL141" s="667"/>
    </row>
    <row r="142" spans="1:38" ht="15" x14ac:dyDescent="0.25">
      <c r="A142" s="748">
        <v>2025</v>
      </c>
      <c r="B142" s="746"/>
      <c r="C142" s="124"/>
      <c r="D142" s="124"/>
      <c r="E142" s="124">
        <v>1</v>
      </c>
      <c r="F142" s="124"/>
      <c r="G142" s="124">
        <v>1</v>
      </c>
      <c r="H142" s="124">
        <v>1</v>
      </c>
      <c r="I142" s="124">
        <v>2</v>
      </c>
      <c r="J142" s="124">
        <v>1</v>
      </c>
      <c r="K142" s="124"/>
      <c r="L142" s="124"/>
      <c r="M142" s="124"/>
      <c r="N142" s="548">
        <f>SUM(B142:M142)</f>
        <v>6</v>
      </c>
      <c r="AG142" s="667"/>
      <c r="AH142" s="667"/>
      <c r="AI142" s="667"/>
      <c r="AJ142" s="667"/>
      <c r="AK142" s="667"/>
      <c r="AL142" s="667"/>
    </row>
    <row r="143" spans="1:38" ht="13.5" thickBot="1" x14ac:dyDescent="0.25">
      <c r="A143" s="749">
        <v>2026</v>
      </c>
      <c r="B143" s="471"/>
      <c r="C143" s="472"/>
      <c r="D143" s="472"/>
      <c r="E143" s="472"/>
      <c r="F143" s="472"/>
      <c r="G143" s="472"/>
      <c r="H143" s="472"/>
      <c r="I143" s="472"/>
      <c r="J143" s="472"/>
      <c r="K143" s="472"/>
      <c r="L143" s="472"/>
      <c r="M143" s="472"/>
      <c r="N143" s="473"/>
    </row>
    <row r="147" spans="1:14" ht="13.5" thickBot="1" x14ac:dyDescent="0.25">
      <c r="A147" s="743" t="s">
        <v>252</v>
      </c>
    </row>
    <row r="148" spans="1:14" ht="13.5" thickBot="1" x14ac:dyDescent="0.25">
      <c r="A148" s="745"/>
      <c r="B148" s="475" t="s">
        <v>60</v>
      </c>
      <c r="C148" s="474" t="s">
        <v>59</v>
      </c>
      <c r="D148" s="474" t="s">
        <v>58</v>
      </c>
      <c r="E148" s="474" t="s">
        <v>57</v>
      </c>
      <c r="F148" s="474" t="s">
        <v>56</v>
      </c>
      <c r="G148" s="474" t="s">
        <v>55</v>
      </c>
      <c r="H148" s="474" t="s">
        <v>54</v>
      </c>
      <c r="I148" s="474" t="s">
        <v>53</v>
      </c>
      <c r="J148" s="474" t="s">
        <v>52</v>
      </c>
      <c r="K148" s="474" t="s">
        <v>51</v>
      </c>
      <c r="L148" s="474" t="s">
        <v>50</v>
      </c>
      <c r="M148" s="474" t="s">
        <v>49</v>
      </c>
      <c r="N148" s="474" t="s">
        <v>148</v>
      </c>
    </row>
    <row r="149" spans="1:14" x14ac:dyDescent="0.2">
      <c r="A149" s="747">
        <v>2025</v>
      </c>
      <c r="B149" s="746"/>
      <c r="C149" s="124"/>
      <c r="D149" s="124"/>
      <c r="E149" s="124"/>
      <c r="F149" s="124"/>
      <c r="G149" s="124">
        <v>1</v>
      </c>
      <c r="H149" s="124"/>
      <c r="I149" s="124"/>
      <c r="J149" s="124"/>
      <c r="K149" s="124">
        <v>1</v>
      </c>
      <c r="L149" s="124"/>
      <c r="M149" s="124">
        <v>1</v>
      </c>
      <c r="N149" s="548">
        <f>SUM(B149:M149)</f>
        <v>3</v>
      </c>
    </row>
    <row r="150" spans="1:14" ht="13.5" thickBot="1" x14ac:dyDescent="0.25">
      <c r="A150" s="610">
        <v>2026</v>
      </c>
      <c r="B150" s="471"/>
      <c r="C150" s="472"/>
      <c r="D150" s="472"/>
      <c r="E150" s="472"/>
      <c r="F150" s="472"/>
      <c r="G150" s="472"/>
      <c r="H150" s="472"/>
      <c r="I150" s="472"/>
      <c r="J150" s="472"/>
      <c r="K150" s="472"/>
      <c r="L150" s="472"/>
      <c r="M150" s="472"/>
      <c r="N150" s="473"/>
    </row>
    <row r="159" spans="1:14" x14ac:dyDescent="0.2">
      <c r="A159" s="180" t="s">
        <v>299</v>
      </c>
      <c r="B159" s="98" t="s">
        <v>60</v>
      </c>
      <c r="C159" s="98" t="s">
        <v>59</v>
      </c>
      <c r="D159" s="98" t="s">
        <v>58</v>
      </c>
      <c r="E159" s="98" t="s">
        <v>57</v>
      </c>
      <c r="F159" s="98" t="s">
        <v>56</v>
      </c>
      <c r="G159" s="98" t="s">
        <v>55</v>
      </c>
      <c r="H159" s="98" t="s">
        <v>54</v>
      </c>
      <c r="I159" s="98" t="s">
        <v>53</v>
      </c>
      <c r="J159" s="98" t="s">
        <v>52</v>
      </c>
      <c r="K159" s="98" t="s">
        <v>51</v>
      </c>
      <c r="L159" s="98" t="s">
        <v>50</v>
      </c>
      <c r="M159" s="98" t="s">
        <v>49</v>
      </c>
    </row>
    <row r="160" spans="1:14" x14ac:dyDescent="0.2">
      <c r="A160" s="180">
        <v>2025</v>
      </c>
    </row>
    <row r="196" spans="44:56" ht="15" x14ac:dyDescent="0.25">
      <c r="AR196"/>
      <c r="AS196"/>
      <c r="AT196"/>
      <c r="AU196"/>
      <c r="AV196"/>
      <c r="AW196"/>
      <c r="AX196"/>
      <c r="AY196"/>
      <c r="AZ196"/>
      <c r="BA196"/>
      <c r="BB196"/>
      <c r="BC196"/>
      <c r="BD196"/>
    </row>
    <row r="197" spans="44:56" ht="15" x14ac:dyDescent="0.25">
      <c r="AR197"/>
      <c r="AS197"/>
      <c r="AT197"/>
      <c r="AU197"/>
      <c r="AV197"/>
      <c r="AW197"/>
      <c r="AX197"/>
      <c r="AY197"/>
      <c r="AZ197"/>
      <c r="BA197"/>
      <c r="BB197"/>
      <c r="BC197"/>
      <c r="BD197"/>
    </row>
  </sheetData>
  <sheetProtection selectLockedCells="1"/>
  <sortState xmlns:xlrd2="http://schemas.microsoft.com/office/spreadsheetml/2017/richdata2" ref="P52:Q62">
    <sortCondition descending="1" ref="Q52:Q62"/>
  </sortState>
  <mergeCells count="16">
    <mergeCell ref="AH17:AI17"/>
    <mergeCell ref="AH25:AI25"/>
    <mergeCell ref="P2:Q2"/>
    <mergeCell ref="AH18:AI18"/>
    <mergeCell ref="AH21:AI21"/>
    <mergeCell ref="AH22:AI22"/>
    <mergeCell ref="AH24:AI24"/>
    <mergeCell ref="AH20:AI20"/>
    <mergeCell ref="AH9:AI9"/>
    <mergeCell ref="AH10:AI10"/>
    <mergeCell ref="AH11:AI11"/>
    <mergeCell ref="AH12:AI12"/>
    <mergeCell ref="AH13:AI13"/>
    <mergeCell ref="AH14:AI14"/>
    <mergeCell ref="AH15:AI15"/>
    <mergeCell ref="AH16:AI16"/>
  </mergeCells>
  <phoneticPr fontId="47" type="noConversion"/>
  <conditionalFormatting sqref="AM31">
    <cfRule type="cellIs" dxfId="1" priority="7" operator="lessThan">
      <formula>#REF!</formula>
    </cfRule>
    <cfRule type="cellIs" dxfId="0" priority="8" operator="greaterThan">
      <formula>#REF!</formula>
    </cfRule>
  </conditionalFormatting>
  <pageMargins left="0.7" right="0.7" top="0.75" bottom="0.75" header="0.3" footer="0.3"/>
  <pageSetup orientation="portrait" r:id="rId1"/>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0713C-3E2F-4E99-A7D2-1E80120D7C74}">
  <sheetPr>
    <pageSetUpPr fitToPage="1"/>
  </sheetPr>
  <dimension ref="A1:C31"/>
  <sheetViews>
    <sheetView zoomScaleNormal="100" workbookViewId="0">
      <selection activeCell="B25" sqref="B25"/>
    </sheetView>
  </sheetViews>
  <sheetFormatPr defaultColWidth="9.140625" defaultRowHeight="15" x14ac:dyDescent="0.25"/>
  <cols>
    <col min="1" max="1" width="46.28515625" style="587" bestFit="1" customWidth="1"/>
    <col min="2" max="2" width="26.28515625" style="587" customWidth="1"/>
    <col min="3" max="3" width="25.7109375" style="588" customWidth="1"/>
    <col min="4" max="16384" width="9.140625" style="587"/>
  </cols>
  <sheetData>
    <row r="1" spans="1:3" ht="24" thickTop="1" x14ac:dyDescent="0.35">
      <c r="A1" s="976" t="s">
        <v>285</v>
      </c>
      <c r="B1" s="977"/>
      <c r="C1" s="978"/>
    </row>
    <row r="2" spans="1:3" ht="18.75" x14ac:dyDescent="0.3">
      <c r="A2" s="609" t="s">
        <v>217</v>
      </c>
      <c r="B2" s="608" t="s">
        <v>284</v>
      </c>
      <c r="C2" s="607" t="s">
        <v>283</v>
      </c>
    </row>
    <row r="3" spans="1:3" ht="18.75" x14ac:dyDescent="0.3">
      <c r="A3" s="606" t="s">
        <v>217</v>
      </c>
      <c r="B3" s="605" t="s">
        <v>282</v>
      </c>
      <c r="C3" s="604" t="s">
        <v>281</v>
      </c>
    </row>
    <row r="4" spans="1:3" ht="12.75" x14ac:dyDescent="0.2">
      <c r="A4" s="603" t="s">
        <v>272</v>
      </c>
      <c r="B4" s="602">
        <v>9</v>
      </c>
      <c r="C4" s="601">
        <f t="shared" ref="C4:C27" si="0">B4/B$30</f>
        <v>0.21951219512195122</v>
      </c>
    </row>
    <row r="5" spans="1:3" ht="12.75" x14ac:dyDescent="0.2">
      <c r="A5" s="603" t="s">
        <v>259</v>
      </c>
      <c r="B5" s="602">
        <v>4</v>
      </c>
      <c r="C5" s="601">
        <f t="shared" si="0"/>
        <v>9.7560975609756101E-2</v>
      </c>
    </row>
    <row r="6" spans="1:3" ht="12.75" x14ac:dyDescent="0.2">
      <c r="A6" s="603" t="s">
        <v>278</v>
      </c>
      <c r="B6" s="602">
        <v>12</v>
      </c>
      <c r="C6" s="601">
        <f t="shared" si="0"/>
        <v>0.29268292682926828</v>
      </c>
    </row>
    <row r="7" spans="1:3" ht="12.75" x14ac:dyDescent="0.2">
      <c r="A7" s="621" t="s">
        <v>301</v>
      </c>
      <c r="B7" s="602">
        <v>4</v>
      </c>
      <c r="C7" s="601">
        <f t="shared" si="0"/>
        <v>9.7560975609756101E-2</v>
      </c>
    </row>
    <row r="8" spans="1:3" ht="12.75" x14ac:dyDescent="0.2">
      <c r="A8" s="603" t="s">
        <v>280</v>
      </c>
      <c r="B8" s="602">
        <v>2</v>
      </c>
      <c r="C8" s="601">
        <f t="shared" si="0"/>
        <v>4.878048780487805E-2</v>
      </c>
    </row>
    <row r="9" spans="1:3" ht="12.75" x14ac:dyDescent="0.2">
      <c r="A9" s="603" t="s">
        <v>277</v>
      </c>
      <c r="B9" s="602">
        <v>3</v>
      </c>
      <c r="C9" s="601">
        <f t="shared" si="0"/>
        <v>7.3170731707317069E-2</v>
      </c>
    </row>
    <row r="10" spans="1:3" ht="12.75" x14ac:dyDescent="0.2">
      <c r="A10" s="603" t="s">
        <v>275</v>
      </c>
      <c r="B10" s="602">
        <v>4</v>
      </c>
      <c r="C10" s="601">
        <f t="shared" si="0"/>
        <v>9.7560975609756101E-2</v>
      </c>
    </row>
    <row r="11" spans="1:3" ht="12.75" x14ac:dyDescent="0.2">
      <c r="A11" s="603" t="s">
        <v>268</v>
      </c>
      <c r="B11" s="602">
        <v>3</v>
      </c>
      <c r="C11" s="601">
        <f t="shared" si="0"/>
        <v>7.3170731707317069E-2</v>
      </c>
    </row>
    <row r="12" spans="1:3" ht="12.75" x14ac:dyDescent="0.2">
      <c r="A12" s="603" t="s">
        <v>262</v>
      </c>
      <c r="B12" s="602"/>
      <c r="C12" s="601">
        <f t="shared" si="0"/>
        <v>0</v>
      </c>
    </row>
    <row r="13" spans="1:3" ht="12.75" x14ac:dyDescent="0.2">
      <c r="A13" s="603" t="s">
        <v>274</v>
      </c>
      <c r="B13" s="602"/>
      <c r="C13" s="601">
        <f t="shared" si="0"/>
        <v>0</v>
      </c>
    </row>
    <row r="14" spans="1:3" ht="12.75" x14ac:dyDescent="0.2">
      <c r="A14" s="603" t="s">
        <v>276</v>
      </c>
      <c r="B14" s="602">
        <v>1</v>
      </c>
      <c r="C14" s="601">
        <f t="shared" si="0"/>
        <v>2.4390243902439025E-2</v>
      </c>
    </row>
    <row r="15" spans="1:3" ht="12.75" x14ac:dyDescent="0.2">
      <c r="A15" s="603" t="s">
        <v>273</v>
      </c>
      <c r="B15" s="602">
        <v>2</v>
      </c>
      <c r="C15" s="601">
        <f t="shared" si="0"/>
        <v>4.878048780487805E-2</v>
      </c>
    </row>
    <row r="16" spans="1:3" ht="12.75" x14ac:dyDescent="0.2">
      <c r="A16" s="603" t="s">
        <v>267</v>
      </c>
      <c r="B16" s="602"/>
      <c r="C16" s="601">
        <f t="shared" si="0"/>
        <v>0</v>
      </c>
    </row>
    <row r="17" spans="1:3" ht="12.75" x14ac:dyDescent="0.2">
      <c r="A17" s="603" t="s">
        <v>269</v>
      </c>
      <c r="B17" s="602"/>
      <c r="C17" s="601">
        <f t="shared" si="0"/>
        <v>0</v>
      </c>
    </row>
    <row r="18" spans="1:3" ht="12.75" x14ac:dyDescent="0.2">
      <c r="A18" s="603" t="s">
        <v>271</v>
      </c>
      <c r="B18" s="602"/>
      <c r="C18" s="601">
        <f t="shared" si="0"/>
        <v>0</v>
      </c>
    </row>
    <row r="19" spans="1:3" ht="12.75" x14ac:dyDescent="0.2">
      <c r="A19" s="603" t="s">
        <v>263</v>
      </c>
      <c r="B19" s="602"/>
      <c r="C19" s="601">
        <f t="shared" si="0"/>
        <v>0</v>
      </c>
    </row>
    <row r="20" spans="1:3" ht="12.75" x14ac:dyDescent="0.2">
      <c r="A20" s="603" t="s">
        <v>261</v>
      </c>
      <c r="B20" s="602"/>
      <c r="C20" s="601">
        <f t="shared" si="0"/>
        <v>0</v>
      </c>
    </row>
    <row r="21" spans="1:3" ht="12.75" x14ac:dyDescent="0.2">
      <c r="A21" s="603" t="s">
        <v>279</v>
      </c>
      <c r="B21" s="602"/>
      <c r="C21" s="601">
        <f t="shared" si="0"/>
        <v>0</v>
      </c>
    </row>
    <row r="22" spans="1:3" ht="12.75" x14ac:dyDescent="0.2">
      <c r="A22" s="603" t="s">
        <v>270</v>
      </c>
      <c r="B22" s="602"/>
      <c r="C22" s="601">
        <f t="shared" si="0"/>
        <v>0</v>
      </c>
    </row>
    <row r="23" spans="1:3" ht="12.75" x14ac:dyDescent="0.2">
      <c r="A23" s="603" t="s">
        <v>266</v>
      </c>
      <c r="B23" s="602"/>
      <c r="C23" s="601">
        <f t="shared" si="0"/>
        <v>0</v>
      </c>
    </row>
    <row r="24" spans="1:3" ht="12.75" x14ac:dyDescent="0.2">
      <c r="A24" s="603" t="s">
        <v>265</v>
      </c>
      <c r="B24" s="602"/>
      <c r="C24" s="601">
        <f t="shared" si="0"/>
        <v>0</v>
      </c>
    </row>
    <row r="25" spans="1:3" ht="12.75" x14ac:dyDescent="0.2">
      <c r="A25" s="603" t="s">
        <v>264</v>
      </c>
      <c r="B25" s="602"/>
      <c r="C25" s="601">
        <f t="shared" si="0"/>
        <v>0</v>
      </c>
    </row>
    <row r="26" spans="1:3" ht="12.75" x14ac:dyDescent="0.2">
      <c r="A26" s="603" t="s">
        <v>260</v>
      </c>
      <c r="B26" s="602"/>
      <c r="C26" s="601">
        <f t="shared" si="0"/>
        <v>0</v>
      </c>
    </row>
    <row r="27" spans="1:3" ht="12.75" x14ac:dyDescent="0.2">
      <c r="A27" s="603" t="s">
        <v>258</v>
      </c>
      <c r="B27" s="602"/>
      <c r="C27" s="601">
        <f t="shared" si="0"/>
        <v>0</v>
      </c>
    </row>
    <row r="28" spans="1:3" ht="13.5" thickBot="1" x14ac:dyDescent="0.25">
      <c r="A28" s="600"/>
      <c r="B28" s="599"/>
      <c r="C28" s="598"/>
    </row>
    <row r="29" spans="1:3" ht="15.75" thickTop="1" x14ac:dyDescent="0.2">
      <c r="A29" s="597" t="s">
        <v>257</v>
      </c>
      <c r="B29" s="596">
        <f>SUM(B4:B28)</f>
        <v>44</v>
      </c>
      <c r="C29" s="595">
        <f>B29/B$30</f>
        <v>1.0731707317073171</v>
      </c>
    </row>
    <row r="30" spans="1:3" ht="15.75" thickBot="1" x14ac:dyDescent="0.25">
      <c r="A30" s="594" t="s">
        <v>286</v>
      </c>
      <c r="B30" s="593">
        <f>Dash!O41</f>
        <v>41</v>
      </c>
      <c r="C30" s="592"/>
    </row>
    <row r="31" spans="1:3" ht="15.75" x14ac:dyDescent="0.25">
      <c r="A31" s="591" t="s">
        <v>256</v>
      </c>
      <c r="B31" s="590">
        <f>B29/B30</f>
        <v>1.0731707317073171</v>
      </c>
      <c r="C31" s="589"/>
    </row>
  </sheetData>
  <sortState xmlns:xlrd2="http://schemas.microsoft.com/office/spreadsheetml/2017/richdata2" ref="A3:C27">
    <sortCondition descending="1" ref="B4:B27"/>
  </sortState>
  <mergeCells count="1">
    <mergeCell ref="A1:C1"/>
  </mergeCells>
  <pageMargins left="0.75" right="0.75" top="1" bottom="1" header="0.5" footer="0.5"/>
  <pageSetup scale="62" orientation="portrait" horizontalDpi="300" verticalDpi="196" r:id="rId1"/>
  <headerFooter alignWithMargins="0"/>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26B42-EBC0-461E-8A89-ABD486FEAEE3}">
  <sheetPr codeName="Sheet3"/>
  <dimension ref="A1:EA62"/>
  <sheetViews>
    <sheetView zoomScale="70" zoomScaleNormal="70" workbookViewId="0">
      <pane ySplit="1" topLeftCell="A14" activePane="bottomLeft" state="frozen"/>
      <selection pane="bottomLeft" activeCell="B14" sqref="B14:B25"/>
    </sheetView>
  </sheetViews>
  <sheetFormatPr defaultColWidth="9.140625" defaultRowHeight="15" x14ac:dyDescent="0.25"/>
  <cols>
    <col min="1" max="1" width="7.5703125" style="272" customWidth="1"/>
    <col min="2" max="2" width="9.42578125" style="272" customWidth="1"/>
    <col min="3" max="3" width="5" style="272" customWidth="1"/>
    <col min="4" max="4" width="12.85546875" style="289" customWidth="1"/>
    <col min="5" max="5" width="12.28515625" style="289" customWidth="1"/>
    <col min="6" max="6" width="14.85546875" style="289" customWidth="1"/>
    <col min="7" max="7" width="11.7109375" style="289" customWidth="1"/>
    <col min="8" max="8" width="15.42578125" style="289" customWidth="1"/>
    <col min="9" max="9" width="11.7109375" style="289" customWidth="1"/>
    <col min="10" max="11" width="13.28515625" style="289" customWidth="1"/>
    <col min="12" max="12" width="12.140625" customWidth="1"/>
    <col min="13" max="13" width="16.28515625" customWidth="1"/>
    <col min="14" max="14" width="14" style="289" customWidth="1"/>
    <col min="15" max="15" width="14.140625" style="289" customWidth="1"/>
    <col min="16" max="16" width="13.140625" style="289" customWidth="1"/>
    <col min="17" max="17" width="19.140625" customWidth="1"/>
    <col min="18" max="18" width="3.7109375" customWidth="1"/>
    <col min="19" max="19" width="15.85546875" style="378" customWidth="1"/>
    <col min="20" max="21" width="14.28515625" style="272" customWidth="1"/>
    <col min="22" max="23" width="13" style="272" customWidth="1"/>
    <col min="24" max="24" width="13.42578125" style="272" customWidth="1"/>
    <col min="25" max="25" width="14.140625" style="272" customWidth="1"/>
    <col min="26" max="26" width="13.5703125" style="272" customWidth="1"/>
    <col min="27" max="27" width="13.140625" customWidth="1"/>
    <col min="28" max="28" width="13.140625" style="272" customWidth="1"/>
    <col min="29" max="29" width="15.5703125" style="272" customWidth="1"/>
    <col min="30" max="30" width="14.7109375" style="272" customWidth="1"/>
    <col min="31" max="31" width="14.85546875" style="272" customWidth="1"/>
    <col min="32" max="32" width="15" customWidth="1"/>
    <col min="33" max="37" width="9.140625" style="272"/>
    <col min="38" max="39" width="8.7109375" customWidth="1"/>
    <col min="40" max="16384" width="9.140625" style="272"/>
  </cols>
  <sheetData>
    <row r="1" spans="1:131" s="246" customFormat="1" ht="61.5" customHeight="1" x14ac:dyDescent="0.2">
      <c r="A1" s="222"/>
      <c r="B1" s="223" t="s">
        <v>150</v>
      </c>
      <c r="C1" s="445"/>
      <c r="D1" s="225" t="s">
        <v>192</v>
      </c>
      <c r="E1" s="226" t="s">
        <v>152</v>
      </c>
      <c r="F1" s="227" t="s">
        <v>186</v>
      </c>
      <c r="G1" s="228" t="s">
        <v>154</v>
      </c>
      <c r="H1" s="229" t="s">
        <v>187</v>
      </c>
      <c r="I1" s="230" t="s">
        <v>156</v>
      </c>
      <c r="J1" s="223" t="s">
        <v>157</v>
      </c>
      <c r="K1" s="223" t="s">
        <v>9</v>
      </c>
      <c r="L1" s="231" t="s">
        <v>188</v>
      </c>
      <c r="M1" s="232" t="s">
        <v>189</v>
      </c>
      <c r="N1" s="230" t="s">
        <v>160</v>
      </c>
      <c r="O1" s="231" t="s">
        <v>161</v>
      </c>
      <c r="P1" s="222" t="s">
        <v>190</v>
      </c>
      <c r="Q1" s="233" t="s">
        <v>191</v>
      </c>
      <c r="R1" s="234"/>
      <c r="S1" s="235" t="s">
        <v>154</v>
      </c>
      <c r="T1" s="236" t="s">
        <v>164</v>
      </c>
      <c r="U1" s="230" t="s">
        <v>165</v>
      </c>
      <c r="V1" s="237" t="s">
        <v>166</v>
      </c>
      <c r="W1" s="226" t="s">
        <v>167</v>
      </c>
      <c r="X1" s="230" t="s">
        <v>168</v>
      </c>
      <c r="Y1" s="226" t="s">
        <v>169</v>
      </c>
      <c r="Z1" s="238" t="s">
        <v>170</v>
      </c>
      <c r="AA1" s="239" t="s">
        <v>171</v>
      </c>
      <c r="AB1" s="240" t="s">
        <v>172</v>
      </c>
      <c r="AC1" s="227" t="s">
        <v>173</v>
      </c>
      <c r="AD1" s="241" t="s">
        <v>174</v>
      </c>
      <c r="AE1" s="224"/>
      <c r="AF1" s="242"/>
      <c r="AG1" s="243"/>
      <c r="AH1" s="244"/>
      <c r="AI1" s="245"/>
    </row>
    <row r="2" spans="1:131" ht="15" hidden="1" customHeight="1" x14ac:dyDescent="0.25">
      <c r="A2" s="247">
        <v>2021</v>
      </c>
      <c r="B2" s="248" t="s">
        <v>60</v>
      </c>
      <c r="C2" s="446"/>
      <c r="D2" s="249"/>
      <c r="E2" s="250"/>
      <c r="F2" s="251">
        <f>D2+E2</f>
        <v>0</v>
      </c>
      <c r="G2" s="252"/>
      <c r="H2" s="253"/>
      <c r="I2" s="254"/>
      <c r="J2" s="255"/>
      <c r="K2" s="255"/>
      <c r="L2" s="256"/>
      <c r="M2" s="256"/>
      <c r="N2" s="254"/>
      <c r="O2" s="257"/>
      <c r="P2" s="258"/>
      <c r="Q2" s="259"/>
      <c r="R2" s="260"/>
      <c r="S2" s="261"/>
      <c r="T2" s="253"/>
      <c r="U2" s="262"/>
      <c r="V2" s="263"/>
      <c r="W2" s="256"/>
      <c r="X2" s="264"/>
      <c r="Y2" s="265"/>
      <c r="Z2" s="258"/>
      <c r="AA2" s="266"/>
      <c r="AB2" s="267"/>
      <c r="AC2" s="268"/>
      <c r="AD2" s="269"/>
      <c r="AE2" s="270"/>
      <c r="AF2" s="271"/>
      <c r="AH2" s="273"/>
      <c r="AK2"/>
      <c r="AL2" s="272"/>
      <c r="AM2" s="272"/>
      <c r="AQ2"/>
      <c r="AR2"/>
    </row>
    <row r="3" spans="1:131" ht="15" hidden="1" customHeight="1" x14ac:dyDescent="0.25">
      <c r="A3" s="247">
        <v>2021</v>
      </c>
      <c r="B3" s="274" t="s">
        <v>59</v>
      </c>
      <c r="C3" s="446"/>
      <c r="D3" s="275"/>
      <c r="E3" s="276"/>
      <c r="F3" s="251">
        <f>D3+E3</f>
        <v>0</v>
      </c>
      <c r="G3" s="252"/>
      <c r="H3" s="277"/>
      <c r="I3" s="278"/>
      <c r="J3" s="255"/>
      <c r="K3" s="255"/>
      <c r="L3" s="279"/>
      <c r="M3" s="279"/>
      <c r="N3" s="278"/>
      <c r="O3" s="280"/>
      <c r="P3" s="281"/>
      <c r="Q3" s="282"/>
      <c r="R3" s="260"/>
      <c r="S3" s="261"/>
      <c r="T3" s="283"/>
      <c r="U3" s="284"/>
      <c r="V3" s="263"/>
      <c r="W3" s="285"/>
      <c r="X3" s="286"/>
      <c r="Y3" s="265"/>
      <c r="Z3" s="287"/>
      <c r="AA3" s="266"/>
      <c r="AB3" s="267"/>
      <c r="AC3" s="268"/>
      <c r="AD3" s="288"/>
      <c r="AE3" s="270"/>
      <c r="AF3" s="271"/>
      <c r="AH3" s="289"/>
      <c r="AK3"/>
      <c r="AL3" s="272"/>
      <c r="AM3" s="272"/>
      <c r="AQ3"/>
      <c r="AR3"/>
    </row>
    <row r="4" spans="1:131" ht="15" hidden="1" customHeight="1" x14ac:dyDescent="0.25">
      <c r="A4" s="247">
        <v>2021</v>
      </c>
      <c r="B4" s="248" t="s">
        <v>58</v>
      </c>
      <c r="C4" s="446"/>
      <c r="D4" s="290"/>
      <c r="E4" s="250"/>
      <c r="F4" s="251">
        <f t="shared" ref="F4:F23" si="0">D4+E4</f>
        <v>0</v>
      </c>
      <c r="G4" s="252"/>
      <c r="H4" s="253"/>
      <c r="I4" s="291"/>
      <c r="J4" s="255" t="e">
        <f t="shared" ref="J4:J23" si="1">H4*1000000/D4</f>
        <v>#DIV/0!</v>
      </c>
      <c r="K4" s="255" t="e">
        <f>H4*200000/D4</f>
        <v>#DIV/0!</v>
      </c>
      <c r="L4" s="256"/>
      <c r="M4" s="257" t="e">
        <f>SUM(L4)*200000/D4</f>
        <v>#DIV/0!</v>
      </c>
      <c r="N4" s="291"/>
      <c r="O4" s="257" t="e">
        <f>H4+L4*1000000/D4</f>
        <v>#DIV/0!</v>
      </c>
      <c r="P4" s="258"/>
      <c r="Q4" s="292" t="e">
        <f>SUM(G4,H4,L4,P4)*200000/D4</f>
        <v>#DIV/0!</v>
      </c>
      <c r="R4" s="260"/>
      <c r="S4" s="261"/>
      <c r="T4" s="253"/>
      <c r="U4" s="262"/>
      <c r="V4" s="263" t="e">
        <f t="shared" ref="V4:V12" si="2">SUM(T4)*1000000/E5</f>
        <v>#DIV/0!</v>
      </c>
      <c r="W4" s="256">
        <v>1</v>
      </c>
      <c r="X4" s="264"/>
      <c r="Y4" s="265" t="e">
        <f t="shared" ref="Y4:Y23" si="3">SUM(T4,W4)*1000000/E4</f>
        <v>#DIV/0!</v>
      </c>
      <c r="Z4" s="258">
        <v>1</v>
      </c>
      <c r="AA4" s="266" t="e">
        <f t="shared" ref="AA4:AA23" si="4">Z4*1000000/E4</f>
        <v>#DIV/0!</v>
      </c>
      <c r="AB4" s="267" t="e">
        <f t="shared" ref="AB4:AB23" si="5">SUM(H4,T4)*1000000/F4</f>
        <v>#DIV/0!</v>
      </c>
      <c r="AC4" s="255" t="e">
        <f t="shared" ref="AC4:AC23" si="6">SUM(H4,L4,T4,W4)*1000000/F4</f>
        <v>#DIV/0!</v>
      </c>
      <c r="AD4" s="293">
        <f t="shared" ref="AD4:AD23" si="7">SUM(P4,Z4)</f>
        <v>1</v>
      </c>
      <c r="AE4" s="270"/>
      <c r="AF4" s="271"/>
      <c r="AH4" s="294"/>
      <c r="AK4"/>
      <c r="AL4" s="272"/>
      <c r="AM4" s="272"/>
      <c r="AQ4"/>
      <c r="AR4"/>
    </row>
    <row r="5" spans="1:131" ht="15" hidden="1" customHeight="1" x14ac:dyDescent="0.25">
      <c r="A5" s="247">
        <v>2021</v>
      </c>
      <c r="B5" s="274" t="s">
        <v>57</v>
      </c>
      <c r="C5" s="446"/>
      <c r="D5" s="275"/>
      <c r="E5" s="276"/>
      <c r="F5" s="251">
        <f t="shared" si="0"/>
        <v>0</v>
      </c>
      <c r="G5" s="252"/>
      <c r="H5" s="277"/>
      <c r="I5" s="295"/>
      <c r="J5" s="255" t="e">
        <f t="shared" si="1"/>
        <v>#DIV/0!</v>
      </c>
      <c r="K5" s="255" t="e">
        <f t="shared" ref="K5:K23" si="8">H5*200000/D5</f>
        <v>#DIV/0!</v>
      </c>
      <c r="L5" s="279"/>
      <c r="M5" s="257" t="e">
        <f t="shared" ref="M5:M23" si="9">SUM(L5)*200000/D5</f>
        <v>#DIV/0!</v>
      </c>
      <c r="N5" s="278"/>
      <c r="O5" s="257" t="e">
        <f t="shared" ref="O5:O11" si="10">H5+L5*1000000/D5</f>
        <v>#DIV/0!</v>
      </c>
      <c r="P5" s="281"/>
      <c r="Q5" s="292" t="e">
        <f t="shared" ref="Q5:Q23" si="11">SUM(G5,H5,L5,P5)*200000/D5</f>
        <v>#DIV/0!</v>
      </c>
      <c r="R5" s="260"/>
      <c r="S5" s="261"/>
      <c r="T5" s="283"/>
      <c r="U5" s="284"/>
      <c r="V5" s="263" t="e">
        <f t="shared" si="2"/>
        <v>#DIV/0!</v>
      </c>
      <c r="W5" s="285"/>
      <c r="X5" s="286"/>
      <c r="Y5" s="265" t="e">
        <f t="shared" si="3"/>
        <v>#DIV/0!</v>
      </c>
      <c r="Z5" s="287"/>
      <c r="AA5" s="266" t="e">
        <f t="shared" si="4"/>
        <v>#DIV/0!</v>
      </c>
      <c r="AB5" s="267" t="e">
        <f t="shared" si="5"/>
        <v>#DIV/0!</v>
      </c>
      <c r="AC5" s="255" t="e">
        <f t="shared" si="6"/>
        <v>#DIV/0!</v>
      </c>
      <c r="AD5" s="293">
        <f t="shared" si="7"/>
        <v>0</v>
      </c>
      <c r="AE5" s="270"/>
      <c r="AF5" s="271"/>
      <c r="AH5" s="294"/>
      <c r="AK5"/>
      <c r="AL5" s="272"/>
      <c r="AM5" s="272"/>
      <c r="AQ5"/>
      <c r="AR5"/>
    </row>
    <row r="6" spans="1:131" ht="15" hidden="1" customHeight="1" x14ac:dyDescent="0.25">
      <c r="A6" s="247">
        <v>2021</v>
      </c>
      <c r="B6" s="248" t="s">
        <v>56</v>
      </c>
      <c r="C6" s="446"/>
      <c r="D6" s="290"/>
      <c r="E6" s="250"/>
      <c r="F6" s="251">
        <f t="shared" si="0"/>
        <v>0</v>
      </c>
      <c r="G6" s="252"/>
      <c r="H6" s="253"/>
      <c r="I6" s="291"/>
      <c r="J6" s="255" t="e">
        <f t="shared" si="1"/>
        <v>#DIV/0!</v>
      </c>
      <c r="K6" s="255" t="e">
        <f t="shared" si="8"/>
        <v>#DIV/0!</v>
      </c>
      <c r="L6" s="256"/>
      <c r="M6" s="257" t="e">
        <f t="shared" si="9"/>
        <v>#DIV/0!</v>
      </c>
      <c r="N6" s="291"/>
      <c r="O6" s="257" t="e">
        <f t="shared" si="10"/>
        <v>#DIV/0!</v>
      </c>
      <c r="P6" s="258">
        <v>1</v>
      </c>
      <c r="Q6" s="292" t="e">
        <f t="shared" si="11"/>
        <v>#DIV/0!</v>
      </c>
      <c r="R6" s="260"/>
      <c r="S6" s="261"/>
      <c r="T6" s="253"/>
      <c r="U6" s="262"/>
      <c r="V6" s="263" t="e">
        <f t="shared" si="2"/>
        <v>#DIV/0!</v>
      </c>
      <c r="W6" s="256"/>
      <c r="X6" s="264">
        <v>9</v>
      </c>
      <c r="Y6" s="265" t="e">
        <f t="shared" si="3"/>
        <v>#DIV/0!</v>
      </c>
      <c r="Z6" s="258"/>
      <c r="AA6" s="266" t="e">
        <f t="shared" si="4"/>
        <v>#DIV/0!</v>
      </c>
      <c r="AB6" s="267" t="e">
        <f t="shared" si="5"/>
        <v>#DIV/0!</v>
      </c>
      <c r="AC6" s="255" t="e">
        <f t="shared" si="6"/>
        <v>#DIV/0!</v>
      </c>
      <c r="AD6" s="293">
        <f t="shared" si="7"/>
        <v>1</v>
      </c>
      <c r="AE6" s="270"/>
      <c r="AF6" s="271"/>
      <c r="AH6" s="294"/>
      <c r="AK6"/>
      <c r="AL6" s="272"/>
      <c r="AM6" s="272"/>
      <c r="AQ6"/>
      <c r="AR6"/>
    </row>
    <row r="7" spans="1:131" ht="15" hidden="1" customHeight="1" x14ac:dyDescent="0.25">
      <c r="A7" s="247">
        <v>2021</v>
      </c>
      <c r="B7" s="274" t="s">
        <v>55</v>
      </c>
      <c r="C7" s="446"/>
      <c r="D7" s="275"/>
      <c r="E7" s="276"/>
      <c r="F7" s="251">
        <f t="shared" si="0"/>
        <v>0</v>
      </c>
      <c r="G7" s="252"/>
      <c r="H7" s="277"/>
      <c r="I7" s="278"/>
      <c r="J7" s="255" t="e">
        <f t="shared" si="1"/>
        <v>#DIV/0!</v>
      </c>
      <c r="K7" s="255" t="e">
        <f t="shared" si="8"/>
        <v>#DIV/0!</v>
      </c>
      <c r="L7" s="279"/>
      <c r="M7" s="257" t="e">
        <f t="shared" si="9"/>
        <v>#DIV/0!</v>
      </c>
      <c r="N7" s="278"/>
      <c r="O7" s="257" t="e">
        <f t="shared" si="10"/>
        <v>#DIV/0!</v>
      </c>
      <c r="P7" s="281">
        <v>1</v>
      </c>
      <c r="Q7" s="292" t="e">
        <f t="shared" si="11"/>
        <v>#DIV/0!</v>
      </c>
      <c r="R7" s="260"/>
      <c r="S7" s="261"/>
      <c r="T7" s="283"/>
      <c r="U7" s="284"/>
      <c r="V7" s="263" t="e">
        <f t="shared" si="2"/>
        <v>#DIV/0!</v>
      </c>
      <c r="W7" s="285"/>
      <c r="X7" s="286"/>
      <c r="Y7" s="265" t="e">
        <f t="shared" si="3"/>
        <v>#DIV/0!</v>
      </c>
      <c r="Z7" s="287"/>
      <c r="AA7" s="266" t="e">
        <f t="shared" si="4"/>
        <v>#DIV/0!</v>
      </c>
      <c r="AB7" s="267" t="e">
        <f t="shared" si="5"/>
        <v>#DIV/0!</v>
      </c>
      <c r="AC7" s="255" t="e">
        <f t="shared" si="6"/>
        <v>#DIV/0!</v>
      </c>
      <c r="AD7" s="293">
        <f t="shared" si="7"/>
        <v>1</v>
      </c>
      <c r="AE7" s="270"/>
      <c r="AF7" s="271"/>
      <c r="AH7" s="294"/>
      <c r="AK7"/>
      <c r="AL7" s="272"/>
      <c r="AM7" s="272"/>
      <c r="AQ7"/>
      <c r="AR7"/>
    </row>
    <row r="8" spans="1:131" s="297" customFormat="1" ht="15" hidden="1" customHeight="1" x14ac:dyDescent="0.25">
      <c r="A8" s="247">
        <v>2021</v>
      </c>
      <c r="B8" s="248" t="s">
        <v>54</v>
      </c>
      <c r="C8" s="446"/>
      <c r="D8" s="290"/>
      <c r="E8" s="296"/>
      <c r="F8" s="251">
        <f t="shared" si="0"/>
        <v>0</v>
      </c>
      <c r="G8" s="252"/>
      <c r="H8" s="253"/>
      <c r="I8" s="291"/>
      <c r="J8" s="255" t="e">
        <f t="shared" si="1"/>
        <v>#DIV/0!</v>
      </c>
      <c r="K8" s="255" t="e">
        <f t="shared" si="8"/>
        <v>#DIV/0!</v>
      </c>
      <c r="L8" s="256">
        <v>1</v>
      </c>
      <c r="M8" s="257" t="e">
        <f t="shared" si="9"/>
        <v>#DIV/0!</v>
      </c>
      <c r="N8" s="291">
        <v>6</v>
      </c>
      <c r="O8" s="257" t="e">
        <f t="shared" si="10"/>
        <v>#DIV/0!</v>
      </c>
      <c r="P8" s="258"/>
      <c r="Q8" s="292" t="e">
        <f t="shared" si="11"/>
        <v>#DIV/0!</v>
      </c>
      <c r="R8" s="260"/>
      <c r="S8" s="261"/>
      <c r="T8" s="253"/>
      <c r="U8" s="262"/>
      <c r="V8" s="263" t="e">
        <f t="shared" si="2"/>
        <v>#DIV/0!</v>
      </c>
      <c r="W8" s="256">
        <v>2</v>
      </c>
      <c r="X8" s="264">
        <v>27</v>
      </c>
      <c r="Y8" s="265" t="e">
        <f t="shared" si="3"/>
        <v>#DIV/0!</v>
      </c>
      <c r="Z8" s="258">
        <v>2</v>
      </c>
      <c r="AA8" s="266" t="e">
        <f t="shared" si="4"/>
        <v>#DIV/0!</v>
      </c>
      <c r="AB8" s="267" t="e">
        <f t="shared" si="5"/>
        <v>#DIV/0!</v>
      </c>
      <c r="AC8" s="255" t="e">
        <f t="shared" si="6"/>
        <v>#DIV/0!</v>
      </c>
      <c r="AD8" s="293">
        <f t="shared" si="7"/>
        <v>2</v>
      </c>
      <c r="AE8" s="270"/>
      <c r="AF8" s="271"/>
      <c r="AG8" s="272"/>
      <c r="AH8" s="294"/>
      <c r="AI8" s="272"/>
      <c r="AJ8" s="272"/>
      <c r="AK8"/>
      <c r="AL8" s="272"/>
      <c r="AM8" s="272"/>
      <c r="AN8" s="272"/>
      <c r="AO8" s="272"/>
      <c r="AP8" s="272"/>
      <c r="AQ8"/>
      <c r="AR8"/>
      <c r="AS8" s="272"/>
      <c r="AT8" s="272"/>
      <c r="AU8" s="272"/>
      <c r="AV8" s="272"/>
      <c r="AW8" s="272"/>
      <c r="AX8" s="272"/>
      <c r="AY8" s="272"/>
      <c r="AZ8" s="272"/>
      <c r="BA8" s="272"/>
      <c r="BB8" s="272"/>
      <c r="BC8" s="272"/>
      <c r="BD8" s="272"/>
      <c r="BE8" s="272"/>
      <c r="BF8" s="272"/>
      <c r="BG8" s="272"/>
      <c r="BH8" s="272"/>
      <c r="BI8" s="272"/>
      <c r="BJ8" s="272"/>
      <c r="BK8" s="272"/>
      <c r="BL8" s="272"/>
      <c r="BM8" s="272"/>
      <c r="BN8" s="272"/>
      <c r="BO8" s="272"/>
      <c r="BP8" s="272"/>
      <c r="BQ8" s="272"/>
      <c r="BR8" s="272"/>
      <c r="BS8" s="272"/>
      <c r="BT8" s="272"/>
      <c r="BU8" s="272"/>
      <c r="BV8" s="272"/>
      <c r="BW8" s="272"/>
      <c r="BX8" s="272"/>
      <c r="BY8" s="272"/>
      <c r="BZ8" s="272"/>
      <c r="CA8" s="272"/>
      <c r="CB8" s="272"/>
      <c r="CC8" s="272"/>
      <c r="CD8" s="272"/>
      <c r="CE8" s="272"/>
      <c r="CF8" s="272"/>
      <c r="CG8" s="272"/>
      <c r="CH8" s="272"/>
      <c r="CI8" s="272"/>
      <c r="CJ8" s="272"/>
      <c r="CK8" s="272"/>
      <c r="CL8" s="272"/>
      <c r="CM8" s="272"/>
      <c r="CN8" s="272"/>
      <c r="CO8" s="272"/>
      <c r="CP8" s="272"/>
      <c r="CQ8" s="272"/>
      <c r="CR8" s="272"/>
      <c r="CS8" s="272"/>
      <c r="CT8" s="272"/>
      <c r="CU8" s="272"/>
      <c r="CV8" s="272"/>
      <c r="CW8" s="272"/>
      <c r="CX8" s="272"/>
      <c r="CY8" s="272"/>
      <c r="CZ8" s="272"/>
      <c r="DA8" s="272"/>
      <c r="DB8" s="272"/>
      <c r="DC8" s="272"/>
      <c r="DD8" s="272"/>
      <c r="DE8" s="272"/>
      <c r="DF8" s="272"/>
      <c r="DG8" s="272"/>
      <c r="DH8" s="272"/>
      <c r="DI8" s="272"/>
      <c r="DJ8" s="272"/>
      <c r="DK8" s="272"/>
      <c r="DL8" s="272"/>
      <c r="DM8" s="272"/>
      <c r="DN8" s="272"/>
      <c r="DO8" s="272"/>
      <c r="DP8" s="272"/>
      <c r="DQ8" s="272"/>
      <c r="DR8" s="272"/>
      <c r="DS8" s="272"/>
      <c r="DT8" s="272"/>
      <c r="DU8" s="272"/>
      <c r="DV8" s="272"/>
      <c r="DW8" s="272"/>
      <c r="DX8" s="272"/>
      <c r="DY8" s="272"/>
      <c r="DZ8" s="272"/>
      <c r="EA8" s="272"/>
    </row>
    <row r="9" spans="1:131" s="298" customFormat="1" ht="15" hidden="1" customHeight="1" x14ac:dyDescent="0.25">
      <c r="A9" s="247">
        <v>2021</v>
      </c>
      <c r="B9" s="274" t="s">
        <v>53</v>
      </c>
      <c r="C9" s="446"/>
      <c r="D9" s="275"/>
      <c r="E9" s="276"/>
      <c r="F9" s="251">
        <f t="shared" si="0"/>
        <v>0</v>
      </c>
      <c r="G9" s="252"/>
      <c r="H9" s="277"/>
      <c r="I9" s="278"/>
      <c r="J9" s="255" t="e">
        <f t="shared" si="1"/>
        <v>#DIV/0!</v>
      </c>
      <c r="K9" s="255" t="e">
        <f t="shared" si="8"/>
        <v>#DIV/0!</v>
      </c>
      <c r="L9" s="279">
        <v>1</v>
      </c>
      <c r="M9" s="257" t="e">
        <f t="shared" si="9"/>
        <v>#DIV/0!</v>
      </c>
      <c r="N9" s="278">
        <v>6</v>
      </c>
      <c r="O9" s="257" t="e">
        <f t="shared" si="10"/>
        <v>#DIV/0!</v>
      </c>
      <c r="P9" s="281">
        <v>2</v>
      </c>
      <c r="Q9" s="292" t="e">
        <f t="shared" si="11"/>
        <v>#DIV/0!</v>
      </c>
      <c r="R9" s="260"/>
      <c r="S9" s="261"/>
      <c r="T9" s="283">
        <v>1</v>
      </c>
      <c r="U9" s="284">
        <v>13</v>
      </c>
      <c r="V9" s="263" t="e">
        <f t="shared" si="2"/>
        <v>#DIV/0!</v>
      </c>
      <c r="W9" s="285"/>
      <c r="X9" s="286">
        <v>31</v>
      </c>
      <c r="Y9" s="265" t="e">
        <f t="shared" si="3"/>
        <v>#DIV/0!</v>
      </c>
      <c r="Z9" s="287">
        <v>1</v>
      </c>
      <c r="AA9" s="266" t="e">
        <f t="shared" si="4"/>
        <v>#DIV/0!</v>
      </c>
      <c r="AB9" s="267" t="e">
        <f t="shared" si="5"/>
        <v>#DIV/0!</v>
      </c>
      <c r="AC9" s="255" t="e">
        <f t="shared" si="6"/>
        <v>#DIV/0!</v>
      </c>
      <c r="AD9" s="293">
        <f t="shared" si="7"/>
        <v>3</v>
      </c>
      <c r="AE9" s="270"/>
      <c r="AF9" s="271"/>
      <c r="AG9" s="272"/>
      <c r="AH9" s="294"/>
      <c r="AI9" s="272"/>
      <c r="AJ9" s="272"/>
      <c r="AK9"/>
      <c r="AL9" s="272"/>
      <c r="AM9" s="272"/>
      <c r="AN9" s="272"/>
      <c r="AO9" s="272"/>
      <c r="AP9" s="272"/>
      <c r="AQ9"/>
      <c r="AR9"/>
      <c r="AS9" s="272"/>
      <c r="AT9" s="272"/>
      <c r="AU9" s="272"/>
      <c r="AV9" s="272"/>
      <c r="AW9" s="272"/>
      <c r="AX9" s="272"/>
      <c r="AY9" s="272"/>
      <c r="AZ9" s="272"/>
      <c r="BA9" s="272"/>
      <c r="BB9" s="272"/>
      <c r="BC9" s="272"/>
      <c r="BD9" s="272"/>
      <c r="BE9" s="272"/>
      <c r="BF9" s="272"/>
      <c r="BG9" s="272"/>
      <c r="BH9" s="272"/>
      <c r="BI9" s="272"/>
      <c r="BJ9" s="272"/>
      <c r="BK9" s="272"/>
      <c r="BL9" s="272"/>
      <c r="BM9" s="272"/>
      <c r="BN9" s="272"/>
      <c r="BO9" s="272"/>
      <c r="BP9" s="272"/>
      <c r="BQ9" s="272"/>
      <c r="BR9" s="272"/>
      <c r="BS9" s="272"/>
      <c r="BT9" s="272"/>
      <c r="BU9" s="272"/>
      <c r="BV9" s="272"/>
      <c r="BW9" s="272"/>
      <c r="BX9" s="272"/>
      <c r="BY9" s="272"/>
      <c r="BZ9" s="272"/>
      <c r="CA9" s="272"/>
      <c r="CB9" s="272"/>
      <c r="CC9" s="272"/>
      <c r="CD9" s="272"/>
      <c r="CE9" s="272"/>
      <c r="CF9" s="272"/>
      <c r="CG9" s="272"/>
      <c r="CH9" s="272"/>
      <c r="CI9" s="272"/>
      <c r="CJ9" s="272"/>
      <c r="CK9" s="272"/>
      <c r="CL9" s="272"/>
      <c r="CM9" s="272"/>
      <c r="CN9" s="272"/>
      <c r="CO9" s="272"/>
      <c r="CP9" s="272"/>
      <c r="CQ9" s="272"/>
      <c r="CR9" s="272"/>
      <c r="CS9" s="272"/>
      <c r="CT9" s="272"/>
      <c r="CU9" s="272"/>
      <c r="CV9" s="272"/>
      <c r="CW9" s="272"/>
      <c r="CX9" s="272"/>
      <c r="CY9" s="272"/>
      <c r="CZ9" s="272"/>
      <c r="DA9" s="272"/>
      <c r="DB9" s="272"/>
      <c r="DC9" s="272"/>
      <c r="DD9" s="272"/>
      <c r="DE9" s="272"/>
      <c r="DF9" s="272"/>
      <c r="DG9" s="272"/>
      <c r="DH9" s="272"/>
      <c r="DI9" s="272"/>
      <c r="DJ9" s="272"/>
      <c r="DK9" s="272"/>
      <c r="DL9" s="272"/>
      <c r="DM9" s="272"/>
      <c r="DN9" s="272"/>
      <c r="DO9" s="272"/>
      <c r="DP9" s="272"/>
      <c r="DQ9" s="272"/>
      <c r="DR9" s="272"/>
      <c r="DS9" s="272"/>
      <c r="DT9" s="272"/>
      <c r="DU9" s="272"/>
      <c r="DV9" s="272"/>
      <c r="DW9" s="272"/>
      <c r="DX9" s="272"/>
      <c r="DY9" s="272"/>
      <c r="DZ9" s="272"/>
      <c r="EA9" s="272"/>
    </row>
    <row r="10" spans="1:131" s="297" customFormat="1" hidden="1" x14ac:dyDescent="0.25">
      <c r="A10" s="247">
        <v>2021</v>
      </c>
      <c r="B10" s="248" t="s">
        <v>52</v>
      </c>
      <c r="C10" s="446"/>
      <c r="D10" s="290"/>
      <c r="E10" s="299"/>
      <c r="F10" s="251">
        <f t="shared" si="0"/>
        <v>0</v>
      </c>
      <c r="G10" s="252"/>
      <c r="H10" s="253"/>
      <c r="I10" s="291"/>
      <c r="J10" s="255" t="e">
        <f t="shared" si="1"/>
        <v>#DIV/0!</v>
      </c>
      <c r="K10" s="255" t="e">
        <f t="shared" si="8"/>
        <v>#DIV/0!</v>
      </c>
      <c r="L10" s="256"/>
      <c r="M10" s="257" t="e">
        <f t="shared" si="9"/>
        <v>#DIV/0!</v>
      </c>
      <c r="N10" s="291">
        <v>2</v>
      </c>
      <c r="O10" s="257" t="e">
        <f t="shared" si="10"/>
        <v>#DIV/0!</v>
      </c>
      <c r="P10" s="258">
        <v>1</v>
      </c>
      <c r="Q10" s="292" t="e">
        <f t="shared" si="11"/>
        <v>#DIV/0!</v>
      </c>
      <c r="R10" s="260"/>
      <c r="S10" s="261"/>
      <c r="T10" s="253"/>
      <c r="U10" s="262"/>
      <c r="V10" s="263" t="e">
        <f t="shared" si="2"/>
        <v>#DIV/0!</v>
      </c>
      <c r="W10" s="256">
        <v>1</v>
      </c>
      <c r="X10" s="264">
        <v>31</v>
      </c>
      <c r="Y10" s="265" t="e">
        <f t="shared" si="3"/>
        <v>#DIV/0!</v>
      </c>
      <c r="Z10" s="258"/>
      <c r="AA10" s="266" t="e">
        <f t="shared" si="4"/>
        <v>#DIV/0!</v>
      </c>
      <c r="AB10" s="267" t="e">
        <f t="shared" si="5"/>
        <v>#DIV/0!</v>
      </c>
      <c r="AC10" s="255" t="e">
        <f t="shared" si="6"/>
        <v>#DIV/0!</v>
      </c>
      <c r="AD10" s="293">
        <f t="shared" si="7"/>
        <v>1</v>
      </c>
      <c r="AE10" s="270"/>
      <c r="AF10" s="271"/>
      <c r="AG10" s="272"/>
      <c r="AH10" s="294"/>
      <c r="AI10" s="272"/>
      <c r="AJ10" s="272"/>
      <c r="AK10"/>
      <c r="AL10" s="272"/>
      <c r="AM10" s="272"/>
      <c r="AN10" s="272"/>
      <c r="AO10" s="272"/>
      <c r="AP10" s="272"/>
      <c r="AQ10"/>
      <c r="AR10"/>
      <c r="AS10" s="272"/>
      <c r="AT10" s="272"/>
      <c r="AU10" s="272"/>
      <c r="AV10" s="272"/>
      <c r="AW10" s="272"/>
      <c r="AX10" s="272"/>
      <c r="AY10" s="272"/>
      <c r="AZ10" s="272"/>
      <c r="BA10" s="272"/>
      <c r="BB10" s="272"/>
      <c r="BC10" s="272"/>
      <c r="BD10" s="272"/>
      <c r="BE10" s="272"/>
      <c r="BF10" s="272"/>
      <c r="BG10" s="272"/>
      <c r="BH10" s="272"/>
      <c r="BI10" s="272"/>
      <c r="BJ10" s="272"/>
      <c r="BK10" s="272"/>
      <c r="BL10" s="272"/>
      <c r="BM10" s="272"/>
      <c r="BN10" s="272"/>
      <c r="BO10" s="272"/>
      <c r="BP10" s="272"/>
      <c r="BQ10" s="272"/>
      <c r="BR10" s="272"/>
      <c r="BS10" s="272"/>
      <c r="BT10" s="272"/>
      <c r="BU10" s="272"/>
      <c r="BV10" s="272"/>
      <c r="BW10" s="272"/>
      <c r="BX10" s="272"/>
      <c r="BY10" s="272"/>
      <c r="BZ10" s="272"/>
      <c r="CA10" s="272"/>
      <c r="CB10" s="272"/>
      <c r="CC10" s="272"/>
      <c r="CD10" s="272"/>
      <c r="CE10" s="272"/>
      <c r="CF10" s="272"/>
      <c r="CG10" s="272"/>
      <c r="CH10" s="272"/>
      <c r="CI10" s="272"/>
      <c r="CJ10" s="272"/>
      <c r="CK10" s="272"/>
      <c r="CL10" s="272"/>
      <c r="CM10" s="272"/>
      <c r="CN10" s="272"/>
      <c r="CO10" s="272"/>
      <c r="CP10" s="272"/>
      <c r="CQ10" s="272"/>
      <c r="CR10" s="272"/>
      <c r="CS10" s="272"/>
      <c r="CT10" s="272"/>
      <c r="CU10" s="272"/>
      <c r="CV10" s="272"/>
      <c r="CW10" s="272"/>
      <c r="CX10" s="272"/>
      <c r="CY10" s="272"/>
      <c r="CZ10" s="272"/>
      <c r="DA10" s="272"/>
      <c r="DB10" s="272"/>
      <c r="DC10" s="272"/>
      <c r="DD10" s="272"/>
      <c r="DE10" s="272"/>
      <c r="DF10" s="272"/>
      <c r="DG10" s="272"/>
      <c r="DH10" s="272"/>
      <c r="DI10" s="272"/>
      <c r="DJ10" s="272"/>
      <c r="DK10" s="272"/>
      <c r="DL10" s="272"/>
      <c r="DM10" s="272"/>
      <c r="DN10" s="272"/>
      <c r="DO10" s="272"/>
      <c r="DP10" s="272"/>
      <c r="DQ10" s="272"/>
      <c r="DR10" s="272"/>
      <c r="DS10" s="272"/>
      <c r="DT10" s="272"/>
      <c r="DU10" s="272"/>
      <c r="DV10" s="272"/>
      <c r="DW10" s="272"/>
      <c r="DX10" s="272"/>
      <c r="DY10" s="272"/>
      <c r="DZ10" s="272"/>
      <c r="EA10" s="272"/>
    </row>
    <row r="11" spans="1:131" s="298" customFormat="1" hidden="1" x14ac:dyDescent="0.25">
      <c r="A11" s="247">
        <v>2021</v>
      </c>
      <c r="B11" s="274" t="s">
        <v>51</v>
      </c>
      <c r="C11" s="446"/>
      <c r="D11" s="275"/>
      <c r="E11" s="276"/>
      <c r="F11" s="251">
        <f t="shared" si="0"/>
        <v>0</v>
      </c>
      <c r="G11" s="252"/>
      <c r="H11" s="277"/>
      <c r="I11" s="278"/>
      <c r="J11" s="255" t="e">
        <f t="shared" si="1"/>
        <v>#DIV/0!</v>
      </c>
      <c r="K11" s="255" t="e">
        <f t="shared" si="8"/>
        <v>#DIV/0!</v>
      </c>
      <c r="L11" s="279"/>
      <c r="M11" s="257" t="e">
        <f t="shared" si="9"/>
        <v>#DIV/0!</v>
      </c>
      <c r="N11" s="278">
        <v>2</v>
      </c>
      <c r="O11" s="257" t="e">
        <f t="shared" si="10"/>
        <v>#DIV/0!</v>
      </c>
      <c r="P11" s="281">
        <v>1</v>
      </c>
      <c r="Q11" s="292" t="e">
        <f t="shared" si="11"/>
        <v>#DIV/0!</v>
      </c>
      <c r="R11" s="260"/>
      <c r="S11" s="261"/>
      <c r="T11" s="283">
        <v>1</v>
      </c>
      <c r="U11" s="284">
        <v>24</v>
      </c>
      <c r="V11" s="263" t="e">
        <f t="shared" si="2"/>
        <v>#DIV/0!</v>
      </c>
      <c r="W11" s="285">
        <v>1</v>
      </c>
      <c r="X11" s="286">
        <v>18</v>
      </c>
      <c r="Y11" s="265" t="e">
        <f t="shared" si="3"/>
        <v>#DIV/0!</v>
      </c>
      <c r="Z11" s="287">
        <v>2</v>
      </c>
      <c r="AA11" s="266" t="e">
        <f t="shared" si="4"/>
        <v>#DIV/0!</v>
      </c>
      <c r="AB11" s="267" t="e">
        <f t="shared" si="5"/>
        <v>#DIV/0!</v>
      </c>
      <c r="AC11" s="255" t="e">
        <f t="shared" si="6"/>
        <v>#DIV/0!</v>
      </c>
      <c r="AD11" s="293">
        <f t="shared" si="7"/>
        <v>3</v>
      </c>
      <c r="AE11" s="270"/>
      <c r="AF11" s="271"/>
      <c r="AG11" s="272"/>
      <c r="AH11" s="294"/>
      <c r="AI11" s="272"/>
      <c r="AJ11" s="272"/>
      <c r="AK11"/>
      <c r="AL11" s="272"/>
      <c r="AM11" s="272"/>
      <c r="AN11" s="272"/>
      <c r="AO11" s="272"/>
      <c r="AP11" s="272"/>
      <c r="AQ11"/>
      <c r="AR11"/>
      <c r="AS11" s="272"/>
      <c r="AT11" s="272"/>
      <c r="AU11" s="272"/>
      <c r="AV11" s="272"/>
      <c r="AW11" s="272"/>
      <c r="AX11" s="272"/>
      <c r="AY11" s="272"/>
      <c r="AZ11" s="272"/>
      <c r="BA11" s="272"/>
      <c r="BB11" s="272"/>
      <c r="BC11" s="272"/>
      <c r="BD11" s="272"/>
      <c r="BE11" s="272"/>
      <c r="BF11" s="272"/>
      <c r="BG11" s="272"/>
      <c r="BH11" s="272"/>
      <c r="BI11" s="272"/>
      <c r="BJ11" s="272"/>
      <c r="BK11" s="272"/>
      <c r="BL11" s="272"/>
      <c r="BM11" s="272"/>
      <c r="BN11" s="272"/>
      <c r="BO11" s="272"/>
      <c r="BP11" s="272"/>
      <c r="BQ11" s="272"/>
      <c r="BR11" s="272"/>
      <c r="BS11" s="272"/>
      <c r="BT11" s="272"/>
      <c r="BU11" s="272"/>
      <c r="BV11" s="272"/>
      <c r="BW11" s="272"/>
      <c r="BX11" s="272"/>
      <c r="BY11" s="272"/>
      <c r="BZ11" s="272"/>
      <c r="CA11" s="272"/>
      <c r="CB11" s="272"/>
      <c r="CC11" s="272"/>
      <c r="CD11" s="272"/>
      <c r="CE11" s="272"/>
      <c r="CF11" s="272"/>
      <c r="CG11" s="272"/>
      <c r="CH11" s="272"/>
      <c r="CI11" s="272"/>
      <c r="CJ11" s="272"/>
      <c r="CK11" s="272"/>
      <c r="CL11" s="272"/>
      <c r="CM11" s="272"/>
      <c r="CN11" s="272"/>
      <c r="CO11" s="272"/>
      <c r="CP11" s="272"/>
      <c r="CQ11" s="272"/>
      <c r="CR11" s="272"/>
      <c r="CS11" s="272"/>
      <c r="CT11" s="272"/>
      <c r="CU11" s="272"/>
      <c r="CV11" s="272"/>
      <c r="CW11" s="272"/>
      <c r="CX11" s="272"/>
      <c r="CY11" s="272"/>
      <c r="CZ11" s="272"/>
      <c r="DA11" s="272"/>
      <c r="DB11" s="272"/>
      <c r="DC11" s="272"/>
      <c r="DD11" s="272"/>
      <c r="DE11" s="272"/>
      <c r="DF11" s="272"/>
      <c r="DG11" s="272"/>
      <c r="DH11" s="272"/>
      <c r="DI11" s="272"/>
      <c r="DJ11" s="272"/>
      <c r="DK11" s="272"/>
      <c r="DL11" s="272"/>
      <c r="DM11" s="272"/>
      <c r="DN11" s="272"/>
      <c r="DO11" s="272"/>
      <c r="DP11" s="272"/>
      <c r="DQ11" s="272"/>
      <c r="DR11" s="272"/>
      <c r="DS11" s="272"/>
      <c r="DT11" s="272"/>
      <c r="DU11" s="272"/>
      <c r="DV11" s="272"/>
      <c r="DW11" s="272"/>
      <c r="DX11" s="272"/>
      <c r="DY11" s="272"/>
      <c r="DZ11" s="272"/>
      <c r="EA11" s="272"/>
    </row>
    <row r="12" spans="1:131" s="297" customFormat="1" ht="15" hidden="1" customHeight="1" x14ac:dyDescent="0.25">
      <c r="A12" s="247">
        <v>2021</v>
      </c>
      <c r="B12" s="248" t="s">
        <v>50</v>
      </c>
      <c r="C12" s="446"/>
      <c r="D12" s="290"/>
      <c r="E12" s="250"/>
      <c r="F12" s="251">
        <f t="shared" si="0"/>
        <v>0</v>
      </c>
      <c r="G12" s="252"/>
      <c r="H12" s="253">
        <v>1</v>
      </c>
      <c r="I12" s="291">
        <v>5</v>
      </c>
      <c r="J12" s="255" t="e">
        <f t="shared" si="1"/>
        <v>#DIV/0!</v>
      </c>
      <c r="K12" s="255" t="e">
        <f t="shared" si="8"/>
        <v>#DIV/0!</v>
      </c>
      <c r="L12" s="256"/>
      <c r="M12" s="257" t="e">
        <f t="shared" si="9"/>
        <v>#DIV/0!</v>
      </c>
      <c r="N12" s="291">
        <v>2</v>
      </c>
      <c r="O12" s="257" t="e">
        <f>SUM(H12,L12)*1000000/D12</f>
        <v>#DIV/0!</v>
      </c>
      <c r="P12" s="258"/>
      <c r="Q12" s="292" t="e">
        <f t="shared" si="11"/>
        <v>#DIV/0!</v>
      </c>
      <c r="R12" s="260"/>
      <c r="S12" s="261"/>
      <c r="T12" s="253"/>
      <c r="U12" s="262">
        <v>30</v>
      </c>
      <c r="V12" s="263" t="e">
        <f t="shared" si="2"/>
        <v>#DIV/0!</v>
      </c>
      <c r="W12" s="256">
        <v>1</v>
      </c>
      <c r="X12" s="264">
        <v>58</v>
      </c>
      <c r="Y12" s="265" t="e">
        <f t="shared" si="3"/>
        <v>#DIV/0!</v>
      </c>
      <c r="Z12" s="258"/>
      <c r="AA12" s="266" t="e">
        <f t="shared" si="4"/>
        <v>#DIV/0!</v>
      </c>
      <c r="AB12" s="267" t="e">
        <f t="shared" si="5"/>
        <v>#DIV/0!</v>
      </c>
      <c r="AC12" s="255" t="e">
        <f t="shared" si="6"/>
        <v>#DIV/0!</v>
      </c>
      <c r="AD12" s="293">
        <f t="shared" si="7"/>
        <v>0</v>
      </c>
      <c r="AE12" s="270"/>
      <c r="AF12" s="271"/>
      <c r="AG12" s="272"/>
      <c r="AH12" s="294"/>
      <c r="AI12" s="272"/>
      <c r="AJ12" s="272"/>
      <c r="AK12"/>
      <c r="AL12" s="272"/>
      <c r="AM12" s="272"/>
      <c r="AN12" s="272"/>
      <c r="AO12" s="272"/>
      <c r="AP12" s="272"/>
      <c r="AQ12"/>
      <c r="AR12"/>
      <c r="AS12" s="272"/>
      <c r="AT12" s="272"/>
      <c r="AU12" s="272"/>
      <c r="AV12" s="272"/>
      <c r="AW12" s="272"/>
      <c r="AX12" s="272"/>
      <c r="AY12" s="272"/>
      <c r="AZ12" s="272"/>
      <c r="BA12" s="272"/>
      <c r="BB12" s="272"/>
      <c r="BC12" s="272"/>
      <c r="BD12" s="272"/>
      <c r="BE12" s="272"/>
      <c r="BF12" s="272"/>
      <c r="BG12" s="272"/>
      <c r="BH12" s="272"/>
      <c r="BI12" s="272"/>
      <c r="BJ12" s="272"/>
      <c r="BK12" s="272"/>
      <c r="BL12" s="272"/>
      <c r="BM12" s="272"/>
      <c r="BN12" s="272"/>
      <c r="BO12" s="272"/>
      <c r="BP12" s="272"/>
      <c r="BQ12" s="272"/>
      <c r="BR12" s="272"/>
      <c r="BS12" s="272"/>
      <c r="BT12" s="272"/>
      <c r="BU12" s="272"/>
      <c r="BV12" s="272"/>
      <c r="BW12" s="272"/>
      <c r="BX12" s="272"/>
      <c r="BY12" s="272"/>
      <c r="BZ12" s="272"/>
      <c r="CA12" s="272"/>
      <c r="CB12" s="272"/>
      <c r="CC12" s="272"/>
      <c r="CD12" s="272"/>
      <c r="CE12" s="272"/>
      <c r="CF12" s="272"/>
      <c r="CG12" s="272"/>
      <c r="CH12" s="272"/>
      <c r="CI12" s="272"/>
      <c r="CJ12" s="272"/>
      <c r="CK12" s="272"/>
      <c r="CL12" s="272"/>
      <c r="CM12" s="272"/>
      <c r="CN12" s="272"/>
      <c r="CO12" s="272"/>
      <c r="CP12" s="272"/>
      <c r="CQ12" s="272"/>
      <c r="CR12" s="272"/>
      <c r="CS12" s="272"/>
      <c r="CT12" s="272"/>
      <c r="CU12" s="272"/>
      <c r="CV12" s="272"/>
      <c r="CW12" s="272"/>
      <c r="CX12" s="272"/>
      <c r="CY12" s="272"/>
      <c r="CZ12" s="272"/>
      <c r="DA12" s="272"/>
      <c r="DB12" s="272"/>
      <c r="DC12" s="272"/>
      <c r="DD12" s="272"/>
      <c r="DE12" s="272"/>
      <c r="DF12" s="272"/>
      <c r="DG12" s="272"/>
      <c r="DH12" s="272"/>
      <c r="DI12" s="272"/>
      <c r="DJ12" s="272"/>
      <c r="DK12" s="272"/>
      <c r="DL12" s="272"/>
      <c r="DM12" s="272"/>
      <c r="DN12" s="272"/>
      <c r="DO12" s="272"/>
      <c r="DP12" s="272"/>
      <c r="DQ12" s="272"/>
      <c r="DR12" s="272"/>
      <c r="DS12" s="272"/>
      <c r="DT12" s="272"/>
      <c r="DU12" s="272"/>
      <c r="DV12" s="272"/>
      <c r="DW12" s="272"/>
      <c r="DX12" s="272"/>
      <c r="DY12" s="272"/>
      <c r="DZ12" s="272"/>
      <c r="EA12" s="272"/>
    </row>
    <row r="13" spans="1:131" s="301" customFormat="1" ht="15" hidden="1" customHeight="1" x14ac:dyDescent="0.25">
      <c r="A13" s="247">
        <v>2021</v>
      </c>
      <c r="B13" s="274" t="s">
        <v>49</v>
      </c>
      <c r="C13" s="446"/>
      <c r="D13" s="275"/>
      <c r="E13" s="276"/>
      <c r="F13" s="251">
        <f t="shared" si="0"/>
        <v>0</v>
      </c>
      <c r="G13" s="252"/>
      <c r="H13" s="277">
        <v>1</v>
      </c>
      <c r="I13" s="278">
        <v>43</v>
      </c>
      <c r="J13" s="255" t="e">
        <f t="shared" si="1"/>
        <v>#DIV/0!</v>
      </c>
      <c r="K13" s="255" t="e">
        <f t="shared" si="8"/>
        <v>#DIV/0!</v>
      </c>
      <c r="L13" s="279"/>
      <c r="M13" s="257" t="e">
        <f t="shared" si="9"/>
        <v>#DIV/0!</v>
      </c>
      <c r="N13" s="278"/>
      <c r="O13" s="257" t="e">
        <f t="shared" ref="O13:O23" si="12">SUM(H13,L13)*1000000/D13</f>
        <v>#DIV/0!</v>
      </c>
      <c r="P13" s="281">
        <v>1</v>
      </c>
      <c r="Q13" s="292" t="e">
        <f t="shared" si="11"/>
        <v>#DIV/0!</v>
      </c>
      <c r="R13" s="260"/>
      <c r="S13" s="261"/>
      <c r="T13" s="283"/>
      <c r="U13" s="284">
        <v>31</v>
      </c>
      <c r="V13" s="263" t="e">
        <f>SUM(T13)*1000000/E13</f>
        <v>#DIV/0!</v>
      </c>
      <c r="W13" s="285"/>
      <c r="X13" s="286">
        <v>23</v>
      </c>
      <c r="Y13" s="265" t="e">
        <f t="shared" si="3"/>
        <v>#DIV/0!</v>
      </c>
      <c r="Z13" s="287"/>
      <c r="AA13" s="266" t="e">
        <f t="shared" si="4"/>
        <v>#DIV/0!</v>
      </c>
      <c r="AB13" s="267" t="e">
        <f t="shared" si="5"/>
        <v>#DIV/0!</v>
      </c>
      <c r="AC13" s="255" t="e">
        <f t="shared" si="6"/>
        <v>#DIV/0!</v>
      </c>
      <c r="AD13" s="293">
        <f t="shared" si="7"/>
        <v>1</v>
      </c>
      <c r="AE13" s="270"/>
      <c r="AF13" s="271"/>
      <c r="AG13" s="300"/>
      <c r="AH13" s="294"/>
      <c r="AI13" s="300"/>
      <c r="AJ13" s="300"/>
      <c r="AK13" s="300"/>
      <c r="AL13" s="300"/>
      <c r="AM13" s="300"/>
      <c r="AN13" s="300"/>
      <c r="AO13" s="300"/>
      <c r="AP13" s="300"/>
      <c r="AQ13" s="300"/>
      <c r="AR13" s="300"/>
      <c r="AS13" s="300"/>
      <c r="AT13" s="300"/>
      <c r="AU13" s="300"/>
      <c r="AV13" s="300"/>
      <c r="AW13" s="300"/>
      <c r="AX13" s="300"/>
      <c r="AY13" s="300"/>
      <c r="AZ13" s="300"/>
      <c r="BA13" s="300"/>
      <c r="BB13" s="300"/>
      <c r="BC13" s="300"/>
      <c r="BD13" s="300"/>
      <c r="BE13" s="300"/>
      <c r="BF13" s="300"/>
      <c r="BG13" s="300"/>
      <c r="BH13" s="300"/>
      <c r="BI13" s="300"/>
      <c r="BJ13" s="300"/>
      <c r="BK13" s="300"/>
      <c r="BL13" s="300"/>
      <c r="BM13" s="300"/>
      <c r="BN13" s="300"/>
      <c r="BO13" s="300"/>
      <c r="BP13" s="300"/>
      <c r="BQ13" s="300"/>
      <c r="BR13" s="300"/>
      <c r="BS13" s="300"/>
      <c r="BT13" s="300"/>
      <c r="BU13" s="300"/>
      <c r="BV13" s="300"/>
      <c r="BW13" s="300"/>
      <c r="BX13" s="300"/>
      <c r="BY13" s="300"/>
      <c r="BZ13" s="300"/>
      <c r="CA13" s="300"/>
      <c r="CB13" s="300"/>
      <c r="CC13" s="300"/>
      <c r="CD13" s="300"/>
      <c r="CE13" s="300"/>
      <c r="CF13" s="300"/>
      <c r="CG13" s="300"/>
      <c r="CH13" s="300"/>
      <c r="CI13" s="300"/>
      <c r="CJ13" s="300"/>
      <c r="CK13" s="300"/>
      <c r="CL13" s="300"/>
      <c r="CM13" s="300"/>
      <c r="CN13" s="300"/>
      <c r="CO13" s="300"/>
      <c r="CP13" s="300"/>
      <c r="CQ13" s="300"/>
      <c r="CR13" s="300"/>
      <c r="CS13" s="300"/>
      <c r="CT13" s="300"/>
      <c r="CU13" s="300"/>
      <c r="CV13" s="300"/>
      <c r="CW13" s="300"/>
      <c r="CX13" s="300"/>
      <c r="CY13" s="300"/>
      <c r="CZ13" s="300"/>
      <c r="DA13" s="300"/>
      <c r="DB13" s="300"/>
      <c r="DC13" s="300"/>
      <c r="DD13" s="300"/>
      <c r="DE13" s="300"/>
      <c r="DF13" s="300"/>
      <c r="DG13" s="300"/>
      <c r="DH13" s="300"/>
      <c r="DI13" s="300"/>
      <c r="DJ13" s="300"/>
      <c r="DK13" s="300"/>
      <c r="DL13" s="300"/>
      <c r="DM13" s="300"/>
      <c r="DN13" s="300"/>
      <c r="DO13" s="300"/>
      <c r="DP13" s="300"/>
      <c r="DQ13" s="300"/>
      <c r="DR13" s="300"/>
      <c r="DS13" s="300"/>
      <c r="DT13" s="300"/>
      <c r="DU13" s="300"/>
      <c r="DV13" s="300"/>
      <c r="DW13" s="300"/>
      <c r="DX13" s="300"/>
      <c r="DY13" s="300"/>
      <c r="DZ13" s="300"/>
      <c r="EA13" s="300"/>
    </row>
    <row r="14" spans="1:131" s="297" customFormat="1" ht="15" customHeight="1" x14ac:dyDescent="0.25">
      <c r="A14" s="247">
        <v>2022</v>
      </c>
      <c r="B14" s="248" t="s">
        <v>60</v>
      </c>
      <c r="C14" s="446"/>
      <c r="D14" s="290"/>
      <c r="E14" s="250"/>
      <c r="F14" s="251">
        <f t="shared" si="0"/>
        <v>0</v>
      </c>
      <c r="G14" s="302"/>
      <c r="H14" s="303"/>
      <c r="I14" s="304"/>
      <c r="J14" s="255" t="e">
        <f t="shared" si="1"/>
        <v>#DIV/0!</v>
      </c>
      <c r="K14" s="255" t="e">
        <f t="shared" si="8"/>
        <v>#DIV/0!</v>
      </c>
      <c r="L14" s="305"/>
      <c r="M14" s="257" t="e">
        <f t="shared" si="9"/>
        <v>#DIV/0!</v>
      </c>
      <c r="N14" s="304"/>
      <c r="O14" s="257" t="e">
        <f t="shared" si="12"/>
        <v>#DIV/0!</v>
      </c>
      <c r="P14" s="306"/>
      <c r="Q14" s="292" t="e">
        <f t="shared" si="11"/>
        <v>#DIV/0!</v>
      </c>
      <c r="R14" s="260"/>
      <c r="S14" s="307"/>
      <c r="T14" s="303"/>
      <c r="U14" s="308"/>
      <c r="V14" s="263" t="e">
        <f t="shared" ref="V14:V22" si="13">SUM(T14)*1000000/E15</f>
        <v>#DIV/0!</v>
      </c>
      <c r="W14" s="305"/>
      <c r="X14" s="309"/>
      <c r="Y14" s="265" t="e">
        <f t="shared" si="3"/>
        <v>#DIV/0!</v>
      </c>
      <c r="Z14" s="306"/>
      <c r="AA14" s="266" t="e">
        <f t="shared" si="4"/>
        <v>#DIV/0!</v>
      </c>
      <c r="AB14" s="267" t="e">
        <f t="shared" si="5"/>
        <v>#DIV/0!</v>
      </c>
      <c r="AC14" s="255" t="e">
        <f t="shared" si="6"/>
        <v>#DIV/0!</v>
      </c>
      <c r="AD14" s="293">
        <f t="shared" si="7"/>
        <v>0</v>
      </c>
      <c r="AE14" s="270"/>
      <c r="AF14" s="271"/>
      <c r="AG14" s="272"/>
      <c r="AH14" s="294"/>
      <c r="AI14" s="272"/>
      <c r="AJ14" s="272"/>
      <c r="AK14"/>
      <c r="AL14" s="272"/>
      <c r="AM14" s="272"/>
      <c r="AN14" s="272"/>
      <c r="AO14" s="272"/>
      <c r="AP14" s="272"/>
      <c r="AQ14"/>
      <c r="AR14"/>
      <c r="AS14" s="272"/>
      <c r="AT14" s="272"/>
      <c r="AU14" s="272"/>
      <c r="AV14" s="272"/>
      <c r="AW14" s="272"/>
      <c r="AX14" s="272"/>
      <c r="AY14" s="272"/>
      <c r="AZ14" s="272"/>
      <c r="BA14" s="272"/>
      <c r="BB14" s="272"/>
      <c r="BC14" s="272"/>
      <c r="BD14" s="272"/>
      <c r="BE14" s="272"/>
      <c r="BF14" s="272"/>
      <c r="BG14" s="272"/>
      <c r="BH14" s="272"/>
      <c r="BI14" s="272"/>
      <c r="BJ14" s="272"/>
      <c r="BK14" s="272"/>
      <c r="BL14" s="272"/>
      <c r="BM14" s="272"/>
      <c r="BN14" s="272"/>
      <c r="BO14" s="272"/>
      <c r="BP14" s="272"/>
      <c r="BQ14" s="272"/>
      <c r="BR14" s="272"/>
      <c r="BS14" s="272"/>
      <c r="BT14" s="272"/>
      <c r="BU14" s="272"/>
      <c r="BV14" s="272"/>
      <c r="BW14" s="272"/>
      <c r="BX14" s="272"/>
      <c r="BY14" s="272"/>
      <c r="BZ14" s="272"/>
      <c r="CA14" s="272"/>
      <c r="CB14" s="272"/>
      <c r="CC14" s="272"/>
      <c r="CD14" s="272"/>
      <c r="CE14" s="272"/>
      <c r="CF14" s="272"/>
      <c r="CG14" s="272"/>
      <c r="CH14" s="272"/>
      <c r="CI14" s="272"/>
      <c r="CJ14" s="272"/>
      <c r="CK14" s="272"/>
      <c r="CL14" s="272"/>
      <c r="CM14" s="272"/>
      <c r="CN14" s="272"/>
      <c r="CO14" s="272"/>
      <c r="CP14" s="272"/>
      <c r="CQ14" s="272"/>
      <c r="CR14" s="272"/>
      <c r="CS14" s="272"/>
      <c r="CT14" s="272"/>
      <c r="CU14" s="272"/>
      <c r="CV14" s="272"/>
      <c r="CW14" s="272"/>
      <c r="CX14" s="272"/>
      <c r="CY14" s="272"/>
      <c r="CZ14" s="272"/>
      <c r="DA14" s="272"/>
      <c r="DB14" s="272"/>
      <c r="DC14" s="272"/>
      <c r="DD14" s="272"/>
      <c r="DE14" s="272"/>
      <c r="DF14" s="272"/>
      <c r="DG14" s="272"/>
      <c r="DH14" s="272"/>
      <c r="DI14" s="272"/>
      <c r="DJ14" s="272"/>
      <c r="DK14" s="272"/>
      <c r="DL14" s="272"/>
      <c r="DM14" s="272"/>
      <c r="DN14" s="272"/>
      <c r="DO14" s="272"/>
      <c r="DP14" s="272"/>
      <c r="DQ14" s="272"/>
      <c r="DR14" s="272"/>
      <c r="DS14" s="272"/>
      <c r="DT14" s="272"/>
      <c r="DU14" s="272"/>
      <c r="DV14" s="272"/>
      <c r="DW14" s="272"/>
      <c r="DX14" s="272"/>
      <c r="DY14" s="272"/>
      <c r="DZ14" s="272"/>
      <c r="EA14" s="272"/>
    </row>
    <row r="15" spans="1:131" s="298" customFormat="1" ht="15" customHeight="1" x14ac:dyDescent="0.25">
      <c r="A15" s="247">
        <v>2022</v>
      </c>
      <c r="B15" s="274" t="s">
        <v>59</v>
      </c>
      <c r="C15" s="446"/>
      <c r="D15" s="290"/>
      <c r="E15" s="250"/>
      <c r="F15" s="251">
        <f t="shared" si="0"/>
        <v>0</v>
      </c>
      <c r="G15" s="302"/>
      <c r="H15" s="310"/>
      <c r="I15" s="311"/>
      <c r="J15" s="255" t="e">
        <f t="shared" si="1"/>
        <v>#DIV/0!</v>
      </c>
      <c r="K15" s="255" t="e">
        <f t="shared" si="8"/>
        <v>#DIV/0!</v>
      </c>
      <c r="L15" s="312"/>
      <c r="M15" s="257" t="e">
        <f t="shared" si="9"/>
        <v>#DIV/0!</v>
      </c>
      <c r="N15" s="311"/>
      <c r="O15" s="257" t="e">
        <f t="shared" si="12"/>
        <v>#DIV/0!</v>
      </c>
      <c r="P15" s="313"/>
      <c r="Q15" s="292" t="e">
        <f t="shared" si="11"/>
        <v>#DIV/0!</v>
      </c>
      <c r="R15" s="260"/>
      <c r="S15" s="307"/>
      <c r="T15" s="314"/>
      <c r="U15" s="315"/>
      <c r="V15" s="263" t="e">
        <f t="shared" si="13"/>
        <v>#DIV/0!</v>
      </c>
      <c r="W15" s="316"/>
      <c r="X15" s="317"/>
      <c r="Y15" s="265" t="e">
        <f t="shared" si="3"/>
        <v>#DIV/0!</v>
      </c>
      <c r="Z15" s="318"/>
      <c r="AA15" s="266" t="e">
        <f t="shared" si="4"/>
        <v>#DIV/0!</v>
      </c>
      <c r="AB15" s="267" t="e">
        <f t="shared" si="5"/>
        <v>#DIV/0!</v>
      </c>
      <c r="AC15" s="255" t="e">
        <f t="shared" si="6"/>
        <v>#DIV/0!</v>
      </c>
      <c r="AD15" s="293">
        <f t="shared" si="7"/>
        <v>0</v>
      </c>
      <c r="AE15" s="270"/>
      <c r="AF15" s="271"/>
      <c r="AG15" s="272"/>
      <c r="AH15" s="294"/>
      <c r="AI15" s="272"/>
      <c r="AJ15" s="272"/>
      <c r="AK15"/>
      <c r="AL15" s="272"/>
      <c r="AM15" s="272"/>
      <c r="AN15" s="272"/>
      <c r="AO15" s="272"/>
      <c r="AP15" s="272"/>
      <c r="AQ15"/>
      <c r="AR15"/>
      <c r="AS15" s="272"/>
      <c r="AT15" s="272"/>
      <c r="AU15" s="272"/>
      <c r="AV15" s="272"/>
      <c r="AW15" s="272"/>
      <c r="AX15" s="272"/>
      <c r="AY15" s="272"/>
      <c r="AZ15" s="272"/>
      <c r="BA15" s="272"/>
      <c r="BB15" s="272"/>
      <c r="BC15" s="272"/>
      <c r="BD15" s="272"/>
      <c r="BE15" s="272"/>
      <c r="BF15" s="272"/>
      <c r="BG15" s="272"/>
      <c r="BH15" s="272"/>
      <c r="BI15" s="272"/>
      <c r="BJ15" s="272"/>
      <c r="BK15" s="272"/>
      <c r="BL15" s="272"/>
      <c r="BM15" s="272"/>
      <c r="BN15" s="272"/>
      <c r="BO15" s="272"/>
      <c r="BP15" s="272"/>
      <c r="BQ15" s="272"/>
      <c r="BR15" s="272"/>
      <c r="BS15" s="272"/>
      <c r="BT15" s="272"/>
      <c r="BU15" s="272"/>
      <c r="BV15" s="272"/>
      <c r="BW15" s="272"/>
      <c r="BX15" s="272"/>
      <c r="BY15" s="272"/>
      <c r="BZ15" s="272"/>
      <c r="CA15" s="272"/>
      <c r="CB15" s="272"/>
      <c r="CC15" s="272"/>
      <c r="CD15" s="272"/>
      <c r="CE15" s="272"/>
      <c r="CF15" s="272"/>
      <c r="CG15" s="272"/>
      <c r="CH15" s="272"/>
      <c r="CI15" s="272"/>
      <c r="CJ15" s="272"/>
      <c r="CK15" s="272"/>
      <c r="CL15" s="272"/>
      <c r="CM15" s="272"/>
      <c r="CN15" s="272"/>
      <c r="CO15" s="272"/>
      <c r="CP15" s="272"/>
      <c r="CQ15" s="272"/>
      <c r="CR15" s="272"/>
      <c r="CS15" s="272"/>
      <c r="CT15" s="272"/>
      <c r="CU15" s="272"/>
      <c r="CV15" s="272"/>
      <c r="CW15" s="272"/>
      <c r="CX15" s="272"/>
      <c r="CY15" s="272"/>
      <c r="CZ15" s="272"/>
      <c r="DA15" s="272"/>
      <c r="DB15" s="272"/>
      <c r="DC15" s="272"/>
      <c r="DD15" s="272"/>
      <c r="DE15" s="272"/>
      <c r="DF15" s="272"/>
      <c r="DG15" s="272"/>
      <c r="DH15" s="272"/>
      <c r="DI15" s="272"/>
      <c r="DJ15" s="272"/>
      <c r="DK15" s="272"/>
      <c r="DL15" s="272"/>
      <c r="DM15" s="272"/>
      <c r="DN15" s="272"/>
      <c r="DO15" s="272"/>
      <c r="DP15" s="272"/>
      <c r="DQ15" s="272"/>
      <c r="DR15" s="272"/>
      <c r="DS15" s="272"/>
      <c r="DT15" s="272"/>
      <c r="DU15" s="272"/>
      <c r="DV15" s="272"/>
      <c r="DW15" s="272"/>
      <c r="DX15" s="272"/>
      <c r="DY15" s="272"/>
      <c r="DZ15" s="272"/>
      <c r="EA15" s="272"/>
    </row>
    <row r="16" spans="1:131" s="297" customFormat="1" ht="15" customHeight="1" x14ac:dyDescent="0.25">
      <c r="A16" s="247">
        <v>2022</v>
      </c>
      <c r="B16" s="248" t="s">
        <v>58</v>
      </c>
      <c r="C16" s="446"/>
      <c r="D16" s="290"/>
      <c r="E16" s="250"/>
      <c r="F16" s="251">
        <f t="shared" si="0"/>
        <v>0</v>
      </c>
      <c r="G16" s="302"/>
      <c r="H16" s="319"/>
      <c r="I16" s="320"/>
      <c r="J16" s="255" t="e">
        <f t="shared" si="1"/>
        <v>#DIV/0!</v>
      </c>
      <c r="K16" s="255" t="e">
        <f t="shared" si="8"/>
        <v>#DIV/0!</v>
      </c>
      <c r="L16" s="321"/>
      <c r="M16" s="257" t="e">
        <f t="shared" si="9"/>
        <v>#DIV/0!</v>
      </c>
      <c r="N16" s="320"/>
      <c r="O16" s="257" t="e">
        <f t="shared" si="12"/>
        <v>#DIV/0!</v>
      </c>
      <c r="P16" s="322"/>
      <c r="Q16" s="292" t="e">
        <f t="shared" si="11"/>
        <v>#DIV/0!</v>
      </c>
      <c r="R16" s="260"/>
      <c r="S16" s="307"/>
      <c r="T16" s="319"/>
      <c r="U16" s="308"/>
      <c r="V16" s="263" t="e">
        <f t="shared" si="13"/>
        <v>#DIV/0!</v>
      </c>
      <c r="W16" s="321"/>
      <c r="X16" s="309"/>
      <c r="Y16" s="265" t="e">
        <f t="shared" si="3"/>
        <v>#DIV/0!</v>
      </c>
      <c r="Z16" s="322"/>
      <c r="AA16" s="266" t="e">
        <f t="shared" si="4"/>
        <v>#DIV/0!</v>
      </c>
      <c r="AB16" s="267" t="e">
        <f t="shared" si="5"/>
        <v>#DIV/0!</v>
      </c>
      <c r="AC16" s="255" t="e">
        <f t="shared" si="6"/>
        <v>#DIV/0!</v>
      </c>
      <c r="AD16" s="293">
        <f t="shared" si="7"/>
        <v>0</v>
      </c>
      <c r="AE16" s="270"/>
      <c r="AF16" s="271"/>
      <c r="AG16" s="272"/>
      <c r="AH16" s="294"/>
      <c r="AI16" s="272"/>
      <c r="AJ16" s="272"/>
      <c r="AK16"/>
      <c r="AL16" s="272"/>
      <c r="AM16" s="272"/>
      <c r="AN16" s="272"/>
      <c r="AO16" s="272"/>
      <c r="AP16" s="272"/>
      <c r="AQ16"/>
      <c r="AR16"/>
      <c r="AS16" s="272"/>
      <c r="AT16" s="272"/>
      <c r="AU16" s="272"/>
      <c r="AV16" s="272"/>
      <c r="AW16" s="272"/>
      <c r="AX16" s="272"/>
      <c r="AY16" s="272"/>
      <c r="AZ16" s="272"/>
      <c r="BA16" s="272"/>
      <c r="BB16" s="272"/>
      <c r="BC16" s="272"/>
      <c r="BD16" s="272"/>
      <c r="BE16" s="272"/>
      <c r="BF16" s="272"/>
      <c r="BG16" s="272"/>
      <c r="BH16" s="272"/>
      <c r="BI16" s="272"/>
      <c r="BJ16" s="272"/>
      <c r="BK16" s="272"/>
      <c r="BL16" s="272"/>
      <c r="BM16" s="272"/>
      <c r="BN16" s="272"/>
      <c r="BO16" s="272"/>
      <c r="BP16" s="272"/>
      <c r="BQ16" s="272"/>
      <c r="BR16" s="272"/>
      <c r="BS16" s="272"/>
      <c r="BT16" s="272"/>
      <c r="BU16" s="272"/>
      <c r="BV16" s="272"/>
      <c r="BW16" s="272"/>
      <c r="BX16" s="272"/>
      <c r="BY16" s="272"/>
      <c r="BZ16" s="272"/>
      <c r="CA16" s="272"/>
      <c r="CB16" s="272"/>
      <c r="CC16" s="272"/>
      <c r="CD16" s="272"/>
      <c r="CE16" s="272"/>
      <c r="CF16" s="272"/>
      <c r="CG16" s="272"/>
      <c r="CH16" s="272"/>
      <c r="CI16" s="272"/>
      <c r="CJ16" s="272"/>
      <c r="CK16" s="272"/>
      <c r="CL16" s="272"/>
      <c r="CM16" s="272"/>
      <c r="CN16" s="272"/>
      <c r="CO16" s="272"/>
      <c r="CP16" s="272"/>
      <c r="CQ16" s="272"/>
      <c r="CR16" s="272"/>
      <c r="CS16" s="272"/>
      <c r="CT16" s="272"/>
      <c r="CU16" s="272"/>
      <c r="CV16" s="272"/>
      <c r="CW16" s="272"/>
      <c r="CX16" s="272"/>
      <c r="CY16" s="272"/>
      <c r="CZ16" s="272"/>
      <c r="DA16" s="272"/>
      <c r="DB16" s="272"/>
      <c r="DC16" s="272"/>
      <c r="DD16" s="272"/>
      <c r="DE16" s="272"/>
      <c r="DF16" s="272"/>
      <c r="DG16" s="272"/>
      <c r="DH16" s="272"/>
      <c r="DI16" s="272"/>
      <c r="DJ16" s="272"/>
      <c r="DK16" s="272"/>
      <c r="DL16" s="272"/>
      <c r="DM16" s="272"/>
      <c r="DN16" s="272"/>
      <c r="DO16" s="272"/>
      <c r="DP16" s="272"/>
      <c r="DQ16" s="272"/>
      <c r="DR16" s="272"/>
      <c r="DS16" s="272"/>
      <c r="DT16" s="272"/>
      <c r="DU16" s="272"/>
      <c r="DV16" s="272"/>
      <c r="DW16" s="272"/>
      <c r="DX16" s="272"/>
      <c r="DY16" s="272"/>
      <c r="DZ16" s="272"/>
      <c r="EA16" s="272"/>
    </row>
    <row r="17" spans="1:131" s="298" customFormat="1" ht="15" customHeight="1" x14ac:dyDescent="0.25">
      <c r="A17" s="247">
        <v>2022</v>
      </c>
      <c r="B17" s="274" t="s">
        <v>57</v>
      </c>
      <c r="C17" s="446"/>
      <c r="D17" s="290"/>
      <c r="E17" s="250"/>
      <c r="F17" s="251">
        <f t="shared" si="0"/>
        <v>0</v>
      </c>
      <c r="G17" s="302"/>
      <c r="H17" s="323"/>
      <c r="I17" s="324"/>
      <c r="J17" s="255" t="e">
        <f t="shared" si="1"/>
        <v>#DIV/0!</v>
      </c>
      <c r="K17" s="255" t="e">
        <f t="shared" si="8"/>
        <v>#DIV/0!</v>
      </c>
      <c r="L17" s="325"/>
      <c r="M17" s="257" t="e">
        <f t="shared" si="9"/>
        <v>#DIV/0!</v>
      </c>
      <c r="N17" s="324"/>
      <c r="O17" s="257" t="e">
        <f t="shared" si="12"/>
        <v>#DIV/0!</v>
      </c>
      <c r="P17" s="326"/>
      <c r="Q17" s="292" t="e">
        <f t="shared" si="11"/>
        <v>#DIV/0!</v>
      </c>
      <c r="R17" s="260"/>
      <c r="S17" s="307"/>
      <c r="T17" s="327"/>
      <c r="U17" s="315"/>
      <c r="V17" s="263" t="e">
        <f t="shared" si="13"/>
        <v>#DIV/0!</v>
      </c>
      <c r="W17" s="328"/>
      <c r="X17" s="317"/>
      <c r="Y17" s="265" t="e">
        <f t="shared" si="3"/>
        <v>#DIV/0!</v>
      </c>
      <c r="Z17" s="329"/>
      <c r="AA17" s="266" t="e">
        <f t="shared" si="4"/>
        <v>#DIV/0!</v>
      </c>
      <c r="AB17" s="267" t="e">
        <f t="shared" si="5"/>
        <v>#DIV/0!</v>
      </c>
      <c r="AC17" s="255" t="e">
        <f t="shared" si="6"/>
        <v>#DIV/0!</v>
      </c>
      <c r="AD17" s="293">
        <f t="shared" si="7"/>
        <v>0</v>
      </c>
      <c r="AE17" s="270"/>
      <c r="AF17" s="271"/>
      <c r="AG17" s="272"/>
      <c r="AH17" s="294"/>
      <c r="AI17" s="272"/>
      <c r="AJ17" s="272"/>
      <c r="AK17"/>
      <c r="AL17" s="272"/>
      <c r="AM17" s="272"/>
      <c r="AN17" s="272"/>
      <c r="AO17" s="272"/>
      <c r="AP17" s="272"/>
      <c r="AQ17"/>
      <c r="AR17"/>
      <c r="AS17" s="272"/>
      <c r="AT17" s="272"/>
      <c r="AU17" s="272"/>
      <c r="AV17" s="272"/>
      <c r="AW17" s="272"/>
      <c r="AX17" s="272"/>
      <c r="AY17" s="272"/>
      <c r="AZ17" s="272"/>
      <c r="BA17" s="272"/>
      <c r="BB17" s="272"/>
      <c r="BC17" s="272"/>
      <c r="BD17" s="272"/>
      <c r="BE17" s="272"/>
      <c r="BF17" s="272"/>
      <c r="BG17" s="272"/>
      <c r="BH17" s="272"/>
      <c r="BI17" s="272"/>
      <c r="BJ17" s="272"/>
      <c r="BK17" s="272"/>
      <c r="BL17" s="272"/>
      <c r="BM17" s="272"/>
      <c r="BN17" s="272"/>
      <c r="BO17" s="272"/>
      <c r="BP17" s="272"/>
      <c r="BQ17" s="272"/>
      <c r="BR17" s="272"/>
      <c r="BS17" s="272"/>
      <c r="BT17" s="272"/>
      <c r="BU17" s="272"/>
      <c r="BV17" s="272"/>
      <c r="BW17" s="272"/>
      <c r="BX17" s="272"/>
      <c r="BY17" s="272"/>
      <c r="BZ17" s="272"/>
      <c r="CA17" s="272"/>
      <c r="CB17" s="272"/>
      <c r="CC17" s="272"/>
      <c r="CD17" s="272"/>
      <c r="CE17" s="272"/>
      <c r="CF17" s="272"/>
      <c r="CG17" s="272"/>
      <c r="CH17" s="272"/>
      <c r="CI17" s="272"/>
      <c r="CJ17" s="272"/>
      <c r="CK17" s="272"/>
      <c r="CL17" s="272"/>
      <c r="CM17" s="272"/>
      <c r="CN17" s="272"/>
      <c r="CO17" s="272"/>
      <c r="CP17" s="272"/>
      <c r="CQ17" s="272"/>
      <c r="CR17" s="272"/>
      <c r="CS17" s="272"/>
      <c r="CT17" s="272"/>
      <c r="CU17" s="272"/>
      <c r="CV17" s="272"/>
      <c r="CW17" s="272"/>
      <c r="CX17" s="272"/>
      <c r="CY17" s="272"/>
      <c r="CZ17" s="272"/>
      <c r="DA17" s="272"/>
      <c r="DB17" s="272"/>
      <c r="DC17" s="272"/>
      <c r="DD17" s="272"/>
      <c r="DE17" s="272"/>
      <c r="DF17" s="272"/>
      <c r="DG17" s="272"/>
      <c r="DH17" s="272"/>
      <c r="DI17" s="272"/>
      <c r="DJ17" s="272"/>
      <c r="DK17" s="272"/>
      <c r="DL17" s="272"/>
      <c r="DM17" s="272"/>
      <c r="DN17" s="272"/>
      <c r="DO17" s="272"/>
      <c r="DP17" s="272"/>
      <c r="DQ17" s="272"/>
      <c r="DR17" s="272"/>
      <c r="DS17" s="272"/>
      <c r="DT17" s="272"/>
      <c r="DU17" s="272"/>
      <c r="DV17" s="272"/>
      <c r="DW17" s="272"/>
      <c r="DX17" s="272"/>
      <c r="DY17" s="272"/>
      <c r="DZ17" s="272"/>
      <c r="EA17" s="272"/>
    </row>
    <row r="18" spans="1:131" s="297" customFormat="1" ht="15" customHeight="1" x14ac:dyDescent="0.25">
      <c r="A18" s="247">
        <v>2022</v>
      </c>
      <c r="B18" s="248" t="s">
        <v>56</v>
      </c>
      <c r="C18" s="446"/>
      <c r="D18" s="290"/>
      <c r="E18" s="250"/>
      <c r="F18" s="251">
        <f t="shared" si="0"/>
        <v>0</v>
      </c>
      <c r="G18" s="302"/>
      <c r="H18" s="319"/>
      <c r="I18" s="320"/>
      <c r="J18" s="255" t="e">
        <f t="shared" si="1"/>
        <v>#DIV/0!</v>
      </c>
      <c r="K18" s="255" t="e">
        <f t="shared" si="8"/>
        <v>#DIV/0!</v>
      </c>
      <c r="L18" s="321"/>
      <c r="M18" s="257" t="e">
        <f t="shared" si="9"/>
        <v>#DIV/0!</v>
      </c>
      <c r="N18" s="320"/>
      <c r="O18" s="257" t="e">
        <f t="shared" si="12"/>
        <v>#DIV/0!</v>
      </c>
      <c r="P18" s="322"/>
      <c r="Q18" s="292" t="e">
        <f t="shared" si="11"/>
        <v>#DIV/0!</v>
      </c>
      <c r="R18" s="260"/>
      <c r="S18" s="307"/>
      <c r="T18" s="319"/>
      <c r="U18" s="308"/>
      <c r="V18" s="263" t="e">
        <f t="shared" si="13"/>
        <v>#DIV/0!</v>
      </c>
      <c r="W18" s="321"/>
      <c r="X18" s="309"/>
      <c r="Y18" s="265" t="e">
        <f t="shared" si="3"/>
        <v>#DIV/0!</v>
      </c>
      <c r="Z18" s="322"/>
      <c r="AA18" s="266" t="e">
        <f t="shared" si="4"/>
        <v>#DIV/0!</v>
      </c>
      <c r="AB18" s="267" t="e">
        <f t="shared" si="5"/>
        <v>#DIV/0!</v>
      </c>
      <c r="AC18" s="255" t="e">
        <f t="shared" si="6"/>
        <v>#DIV/0!</v>
      </c>
      <c r="AD18" s="293">
        <f t="shared" si="7"/>
        <v>0</v>
      </c>
      <c r="AE18" s="270"/>
      <c r="AF18" s="271"/>
      <c r="AG18" s="272"/>
      <c r="AH18" s="294"/>
      <c r="AI18" s="272"/>
      <c r="AJ18" s="272"/>
      <c r="AK18"/>
      <c r="AL18" s="272"/>
      <c r="AM18" s="272"/>
      <c r="AN18" s="272"/>
      <c r="AO18" s="272"/>
      <c r="AP18" s="272"/>
      <c r="AQ18"/>
      <c r="AR18"/>
      <c r="AS18" s="272"/>
      <c r="AT18" s="272"/>
      <c r="AU18" s="272"/>
      <c r="AV18" s="272"/>
      <c r="AW18" s="272"/>
      <c r="AX18" s="272"/>
      <c r="AY18" s="272"/>
      <c r="AZ18" s="272"/>
      <c r="BA18" s="272"/>
      <c r="BB18" s="272"/>
      <c r="BC18" s="272"/>
      <c r="BD18" s="272"/>
      <c r="BE18" s="272"/>
      <c r="BF18" s="272"/>
      <c r="BG18" s="272"/>
      <c r="BH18" s="272"/>
      <c r="BI18" s="272"/>
      <c r="BJ18" s="272"/>
      <c r="BK18" s="272"/>
      <c r="BL18" s="272"/>
      <c r="BM18" s="272"/>
      <c r="BN18" s="272"/>
      <c r="BO18" s="272"/>
      <c r="BP18" s="272"/>
      <c r="BQ18" s="272"/>
      <c r="BR18" s="272"/>
      <c r="BS18" s="272"/>
      <c r="BT18" s="272"/>
      <c r="BU18" s="272"/>
      <c r="BV18" s="272"/>
      <c r="BW18" s="272"/>
      <c r="BX18" s="272"/>
      <c r="BY18" s="272"/>
      <c r="BZ18" s="272"/>
      <c r="CA18" s="272"/>
      <c r="CB18" s="272"/>
      <c r="CC18" s="272"/>
      <c r="CD18" s="272"/>
      <c r="CE18" s="272"/>
      <c r="CF18" s="272"/>
      <c r="CG18" s="272"/>
      <c r="CH18" s="272"/>
      <c r="CI18" s="272"/>
      <c r="CJ18" s="272"/>
      <c r="CK18" s="272"/>
      <c r="CL18" s="272"/>
      <c r="CM18" s="272"/>
      <c r="CN18" s="272"/>
      <c r="CO18" s="272"/>
      <c r="CP18" s="272"/>
      <c r="CQ18" s="272"/>
      <c r="CR18" s="272"/>
      <c r="CS18" s="272"/>
      <c r="CT18" s="272"/>
      <c r="CU18" s="272"/>
      <c r="CV18" s="272"/>
      <c r="CW18" s="272"/>
      <c r="CX18" s="272"/>
      <c r="CY18" s="272"/>
      <c r="CZ18" s="272"/>
      <c r="DA18" s="272"/>
      <c r="DB18" s="272"/>
      <c r="DC18" s="272"/>
      <c r="DD18" s="272"/>
      <c r="DE18" s="272"/>
      <c r="DF18" s="272"/>
      <c r="DG18" s="272"/>
      <c r="DH18" s="272"/>
      <c r="DI18" s="272"/>
      <c r="DJ18" s="272"/>
      <c r="DK18" s="272"/>
      <c r="DL18" s="272"/>
      <c r="DM18" s="272"/>
      <c r="DN18" s="272"/>
      <c r="DO18" s="272"/>
      <c r="DP18" s="272"/>
      <c r="DQ18" s="272"/>
      <c r="DR18" s="272"/>
      <c r="DS18" s="272"/>
      <c r="DT18" s="272"/>
      <c r="DU18" s="272"/>
      <c r="DV18" s="272"/>
      <c r="DW18" s="272"/>
      <c r="DX18" s="272"/>
      <c r="DY18" s="272"/>
      <c r="DZ18" s="272"/>
      <c r="EA18" s="272"/>
    </row>
    <row r="19" spans="1:131" s="298" customFormat="1" ht="15" customHeight="1" x14ac:dyDescent="0.25">
      <c r="A19" s="247">
        <v>2022</v>
      </c>
      <c r="B19" s="274" t="s">
        <v>55</v>
      </c>
      <c r="C19" s="446"/>
      <c r="D19" s="290"/>
      <c r="E19" s="250"/>
      <c r="F19" s="251">
        <f t="shared" si="0"/>
        <v>0</v>
      </c>
      <c r="G19" s="302"/>
      <c r="H19" s="323"/>
      <c r="I19" s="324"/>
      <c r="J19" s="255" t="e">
        <f t="shared" si="1"/>
        <v>#DIV/0!</v>
      </c>
      <c r="K19" s="255" t="e">
        <f t="shared" si="8"/>
        <v>#DIV/0!</v>
      </c>
      <c r="L19" s="325"/>
      <c r="M19" s="257" t="e">
        <f t="shared" si="9"/>
        <v>#DIV/0!</v>
      </c>
      <c r="N19" s="324"/>
      <c r="O19" s="257" t="e">
        <f t="shared" si="12"/>
        <v>#DIV/0!</v>
      </c>
      <c r="P19" s="326"/>
      <c r="Q19" s="292" t="e">
        <f t="shared" si="11"/>
        <v>#DIV/0!</v>
      </c>
      <c r="R19" s="260"/>
      <c r="S19" s="307"/>
      <c r="T19" s="327"/>
      <c r="U19" s="315"/>
      <c r="V19" s="263" t="e">
        <f t="shared" si="13"/>
        <v>#DIV/0!</v>
      </c>
      <c r="W19" s="328"/>
      <c r="X19" s="317"/>
      <c r="Y19" s="265" t="e">
        <f t="shared" si="3"/>
        <v>#DIV/0!</v>
      </c>
      <c r="Z19" s="329"/>
      <c r="AA19" s="266" t="e">
        <f t="shared" si="4"/>
        <v>#DIV/0!</v>
      </c>
      <c r="AB19" s="267" t="e">
        <f t="shared" si="5"/>
        <v>#DIV/0!</v>
      </c>
      <c r="AC19" s="255" t="e">
        <f t="shared" si="6"/>
        <v>#DIV/0!</v>
      </c>
      <c r="AD19" s="293">
        <f t="shared" si="7"/>
        <v>0</v>
      </c>
      <c r="AE19" s="270"/>
      <c r="AF19" s="271"/>
      <c r="AG19" s="272"/>
      <c r="AH19" s="294"/>
      <c r="AI19" s="272"/>
      <c r="AJ19" s="272"/>
      <c r="AK19"/>
      <c r="AL19" s="272"/>
      <c r="AM19" s="272"/>
      <c r="AN19" s="272"/>
      <c r="AO19" s="272"/>
      <c r="AP19" s="272"/>
      <c r="AQ19"/>
      <c r="AR19"/>
      <c r="AS19" s="272"/>
      <c r="AT19" s="272"/>
      <c r="AU19" s="272"/>
      <c r="AV19" s="272"/>
      <c r="AW19" s="272"/>
      <c r="AX19" s="272"/>
      <c r="AY19" s="272"/>
      <c r="AZ19" s="272"/>
      <c r="BA19" s="272"/>
      <c r="BB19" s="272"/>
      <c r="BC19" s="272"/>
      <c r="BD19" s="272"/>
      <c r="BE19" s="272"/>
      <c r="BF19" s="272"/>
      <c r="BG19" s="272"/>
      <c r="BH19" s="272"/>
      <c r="BI19" s="272"/>
      <c r="BJ19" s="272"/>
      <c r="BK19" s="272"/>
      <c r="BL19" s="272"/>
      <c r="BM19" s="272"/>
      <c r="BN19" s="272"/>
      <c r="BO19" s="272"/>
      <c r="BP19" s="272"/>
      <c r="BQ19" s="272"/>
      <c r="BR19" s="272"/>
      <c r="BS19" s="272"/>
      <c r="BT19" s="272"/>
      <c r="BU19" s="272"/>
      <c r="BV19" s="272"/>
      <c r="BW19" s="272"/>
      <c r="BX19" s="272"/>
      <c r="BY19" s="272"/>
      <c r="BZ19" s="272"/>
      <c r="CA19" s="272"/>
      <c r="CB19" s="272"/>
      <c r="CC19" s="272"/>
      <c r="CD19" s="272"/>
      <c r="CE19" s="272"/>
      <c r="CF19" s="272"/>
      <c r="CG19" s="272"/>
      <c r="CH19" s="272"/>
      <c r="CI19" s="272"/>
      <c r="CJ19" s="272"/>
      <c r="CK19" s="272"/>
      <c r="CL19" s="272"/>
      <c r="CM19" s="272"/>
      <c r="CN19" s="272"/>
      <c r="CO19" s="272"/>
      <c r="CP19" s="272"/>
      <c r="CQ19" s="272"/>
      <c r="CR19" s="272"/>
      <c r="CS19" s="272"/>
      <c r="CT19" s="272"/>
      <c r="CU19" s="272"/>
      <c r="CV19" s="272"/>
      <c r="CW19" s="272"/>
      <c r="CX19" s="272"/>
      <c r="CY19" s="272"/>
      <c r="CZ19" s="272"/>
      <c r="DA19" s="272"/>
      <c r="DB19" s="272"/>
      <c r="DC19" s="272"/>
      <c r="DD19" s="272"/>
      <c r="DE19" s="272"/>
      <c r="DF19" s="272"/>
      <c r="DG19" s="272"/>
      <c r="DH19" s="272"/>
      <c r="DI19" s="272"/>
      <c r="DJ19" s="272"/>
      <c r="DK19" s="272"/>
      <c r="DL19" s="272"/>
      <c r="DM19" s="272"/>
      <c r="DN19" s="272"/>
      <c r="DO19" s="272"/>
      <c r="DP19" s="272"/>
      <c r="DQ19" s="272"/>
      <c r="DR19" s="272"/>
      <c r="DS19" s="272"/>
      <c r="DT19" s="272"/>
      <c r="DU19" s="272"/>
      <c r="DV19" s="272"/>
      <c r="DW19" s="272"/>
      <c r="DX19" s="272"/>
      <c r="DY19" s="272"/>
      <c r="DZ19" s="272"/>
      <c r="EA19" s="272"/>
    </row>
    <row r="20" spans="1:131" ht="15" customHeight="1" x14ac:dyDescent="0.25">
      <c r="A20" s="247">
        <v>2022</v>
      </c>
      <c r="B20" s="274" t="s">
        <v>54</v>
      </c>
      <c r="C20" s="446"/>
      <c r="D20" s="290"/>
      <c r="E20" s="250"/>
      <c r="F20" s="251">
        <f t="shared" si="0"/>
        <v>0</v>
      </c>
      <c r="G20" s="302"/>
      <c r="H20" s="323"/>
      <c r="I20" s="320"/>
      <c r="J20" s="255" t="e">
        <f t="shared" si="1"/>
        <v>#DIV/0!</v>
      </c>
      <c r="K20" s="255" t="e">
        <f t="shared" si="8"/>
        <v>#DIV/0!</v>
      </c>
      <c r="L20" s="325"/>
      <c r="M20" s="257" t="e">
        <f t="shared" si="9"/>
        <v>#DIV/0!</v>
      </c>
      <c r="N20" s="320"/>
      <c r="O20" s="257" t="e">
        <f t="shared" si="12"/>
        <v>#DIV/0!</v>
      </c>
      <c r="P20" s="326"/>
      <c r="Q20" s="292" t="e">
        <f t="shared" si="11"/>
        <v>#DIV/0!</v>
      </c>
      <c r="R20" s="260"/>
      <c r="S20" s="307"/>
      <c r="T20" s="319"/>
      <c r="U20" s="308"/>
      <c r="V20" s="263" t="e">
        <f t="shared" si="13"/>
        <v>#DIV/0!</v>
      </c>
      <c r="W20" s="321"/>
      <c r="X20" s="309"/>
      <c r="Y20" s="265" t="e">
        <f t="shared" si="3"/>
        <v>#DIV/0!</v>
      </c>
      <c r="Z20" s="322"/>
      <c r="AA20" s="266" t="e">
        <f t="shared" si="4"/>
        <v>#DIV/0!</v>
      </c>
      <c r="AB20" s="267" t="e">
        <f t="shared" si="5"/>
        <v>#DIV/0!</v>
      </c>
      <c r="AC20" s="255" t="e">
        <f t="shared" si="6"/>
        <v>#DIV/0!</v>
      </c>
      <c r="AD20" s="293">
        <f t="shared" si="7"/>
        <v>0</v>
      </c>
      <c r="AE20" s="270"/>
      <c r="AF20" s="271"/>
      <c r="AH20" s="294"/>
      <c r="AK20"/>
      <c r="AL20" s="272"/>
      <c r="AM20" s="272"/>
      <c r="AQ20"/>
      <c r="AR20"/>
    </row>
    <row r="21" spans="1:131" s="298" customFormat="1" ht="15" customHeight="1" x14ac:dyDescent="0.25">
      <c r="A21" s="247">
        <v>2022</v>
      </c>
      <c r="B21" s="274" t="s">
        <v>53</v>
      </c>
      <c r="C21" s="446"/>
      <c r="D21" s="290"/>
      <c r="E21" s="250"/>
      <c r="F21" s="251">
        <f t="shared" si="0"/>
        <v>0</v>
      </c>
      <c r="G21" s="302"/>
      <c r="H21" s="323"/>
      <c r="I21" s="324"/>
      <c r="J21" s="255" t="e">
        <f t="shared" si="1"/>
        <v>#DIV/0!</v>
      </c>
      <c r="K21" s="255" t="e">
        <f t="shared" si="8"/>
        <v>#DIV/0!</v>
      </c>
      <c r="L21" s="325"/>
      <c r="M21" s="257" t="e">
        <f t="shared" si="9"/>
        <v>#DIV/0!</v>
      </c>
      <c r="N21" s="324"/>
      <c r="O21" s="257" t="e">
        <f t="shared" si="12"/>
        <v>#DIV/0!</v>
      </c>
      <c r="P21" s="326"/>
      <c r="Q21" s="292" t="e">
        <f t="shared" si="11"/>
        <v>#DIV/0!</v>
      </c>
      <c r="R21" s="260"/>
      <c r="S21" s="307"/>
      <c r="T21" s="327"/>
      <c r="U21" s="315"/>
      <c r="V21" s="263" t="e">
        <f t="shared" si="13"/>
        <v>#DIV/0!</v>
      </c>
      <c r="W21" s="328"/>
      <c r="X21" s="317"/>
      <c r="Y21" s="265" t="e">
        <f t="shared" si="3"/>
        <v>#DIV/0!</v>
      </c>
      <c r="Z21" s="329"/>
      <c r="AA21" s="266" t="e">
        <f t="shared" si="4"/>
        <v>#DIV/0!</v>
      </c>
      <c r="AB21" s="267" t="e">
        <f t="shared" si="5"/>
        <v>#DIV/0!</v>
      </c>
      <c r="AC21" s="255" t="e">
        <f t="shared" si="6"/>
        <v>#DIV/0!</v>
      </c>
      <c r="AD21" s="293">
        <f t="shared" si="7"/>
        <v>0</v>
      </c>
      <c r="AE21" s="270"/>
      <c r="AF21" s="272"/>
      <c r="AG21" s="272"/>
      <c r="AH21" s="294"/>
      <c r="AI21" s="272"/>
      <c r="AJ21" s="272"/>
      <c r="AK21"/>
      <c r="AL21" s="272"/>
      <c r="AM21" s="272"/>
      <c r="AN21" s="272"/>
      <c r="AO21" s="272"/>
      <c r="AP21" s="272"/>
      <c r="AQ21"/>
      <c r="AR21"/>
      <c r="AS21" s="272"/>
      <c r="AT21" s="272"/>
      <c r="AU21" s="272"/>
      <c r="AV21" s="272"/>
      <c r="AW21" s="272"/>
      <c r="AX21" s="272"/>
      <c r="AY21" s="272"/>
      <c r="AZ21" s="272"/>
      <c r="BA21" s="272"/>
      <c r="BB21" s="272"/>
      <c r="BC21" s="272"/>
      <c r="BD21" s="272"/>
      <c r="BE21" s="272"/>
      <c r="BF21" s="272"/>
      <c r="BG21" s="272"/>
      <c r="BH21" s="272"/>
      <c r="BI21" s="272"/>
      <c r="BJ21" s="272"/>
      <c r="BK21" s="272"/>
      <c r="BL21" s="272"/>
      <c r="BM21" s="272"/>
      <c r="BN21" s="272"/>
      <c r="BO21" s="272"/>
      <c r="BP21" s="272"/>
      <c r="BQ21" s="272"/>
      <c r="BR21" s="272"/>
      <c r="BS21" s="272"/>
      <c r="BT21" s="272"/>
      <c r="BU21" s="272"/>
      <c r="BV21" s="272"/>
      <c r="BW21" s="272"/>
      <c r="BX21" s="272"/>
      <c r="BY21" s="272"/>
      <c r="BZ21" s="272"/>
      <c r="CA21" s="272"/>
      <c r="CB21" s="272"/>
      <c r="CC21" s="272"/>
      <c r="CD21" s="272"/>
      <c r="CE21" s="272"/>
      <c r="CF21" s="272"/>
      <c r="CG21" s="272"/>
      <c r="CH21" s="272"/>
      <c r="CI21" s="272"/>
      <c r="CJ21" s="272"/>
      <c r="CK21" s="272"/>
      <c r="CL21" s="272"/>
      <c r="CM21" s="272"/>
      <c r="CN21" s="272"/>
      <c r="CO21" s="272"/>
      <c r="CP21" s="272"/>
      <c r="CQ21" s="272"/>
      <c r="CR21" s="272"/>
      <c r="CS21" s="272"/>
      <c r="CT21" s="272"/>
      <c r="CU21" s="272"/>
      <c r="CV21" s="272"/>
      <c r="CW21" s="272"/>
      <c r="CX21" s="272"/>
      <c r="CY21" s="272"/>
      <c r="CZ21" s="272"/>
      <c r="DA21" s="272"/>
      <c r="DB21" s="272"/>
      <c r="DC21" s="272"/>
      <c r="DD21" s="272"/>
      <c r="DE21" s="272"/>
      <c r="DF21" s="272"/>
      <c r="DG21" s="272"/>
      <c r="DH21" s="272"/>
      <c r="DI21" s="272"/>
      <c r="DJ21" s="272"/>
      <c r="DK21" s="272"/>
      <c r="DL21" s="272"/>
      <c r="DM21" s="272"/>
      <c r="DN21" s="272"/>
      <c r="DO21" s="272"/>
      <c r="DP21" s="272"/>
      <c r="DQ21" s="272"/>
      <c r="DR21" s="272"/>
      <c r="DS21" s="272"/>
      <c r="DT21" s="272"/>
      <c r="DU21" s="272"/>
      <c r="DV21" s="272"/>
      <c r="DW21" s="272"/>
      <c r="DX21" s="272"/>
      <c r="DY21" s="272"/>
      <c r="DZ21" s="272"/>
      <c r="EA21" s="272"/>
    </row>
    <row r="22" spans="1:131" s="297" customFormat="1" ht="15" customHeight="1" x14ac:dyDescent="0.25">
      <c r="A22" s="247">
        <v>2022</v>
      </c>
      <c r="B22" s="248" t="s">
        <v>52</v>
      </c>
      <c r="C22" s="446"/>
      <c r="D22" s="290"/>
      <c r="E22" s="250"/>
      <c r="F22" s="251">
        <f t="shared" si="0"/>
        <v>0</v>
      </c>
      <c r="G22" s="302"/>
      <c r="H22" s="319"/>
      <c r="I22" s="320"/>
      <c r="J22" s="255" t="e">
        <f t="shared" si="1"/>
        <v>#DIV/0!</v>
      </c>
      <c r="K22" s="255" t="e">
        <f t="shared" si="8"/>
        <v>#DIV/0!</v>
      </c>
      <c r="L22" s="321"/>
      <c r="M22" s="257" t="e">
        <f t="shared" si="9"/>
        <v>#DIV/0!</v>
      </c>
      <c r="N22" s="320"/>
      <c r="O22" s="257" t="e">
        <f t="shared" si="12"/>
        <v>#DIV/0!</v>
      </c>
      <c r="P22" s="322"/>
      <c r="Q22" s="292" t="e">
        <f t="shared" si="11"/>
        <v>#DIV/0!</v>
      </c>
      <c r="R22" s="260"/>
      <c r="S22" s="307"/>
      <c r="T22" s="319"/>
      <c r="U22" s="308"/>
      <c r="V22" s="263" t="e">
        <f t="shared" si="13"/>
        <v>#DIV/0!</v>
      </c>
      <c r="W22" s="321"/>
      <c r="X22" s="309"/>
      <c r="Y22" s="265" t="e">
        <f t="shared" si="3"/>
        <v>#DIV/0!</v>
      </c>
      <c r="Z22" s="322"/>
      <c r="AA22" s="266" t="e">
        <f t="shared" si="4"/>
        <v>#DIV/0!</v>
      </c>
      <c r="AB22" s="267" t="e">
        <f t="shared" si="5"/>
        <v>#DIV/0!</v>
      </c>
      <c r="AC22" s="255" t="e">
        <f t="shared" si="6"/>
        <v>#DIV/0!</v>
      </c>
      <c r="AD22" s="293">
        <f t="shared" si="7"/>
        <v>0</v>
      </c>
      <c r="AE22" s="270"/>
      <c r="AF22" s="272"/>
      <c r="AG22" s="272"/>
      <c r="AH22" s="294"/>
      <c r="AI22" s="272"/>
      <c r="AJ22" s="272"/>
      <c r="AK22"/>
      <c r="AL22" s="272"/>
      <c r="AM22" s="272"/>
      <c r="AN22" s="272"/>
      <c r="AO22" s="272"/>
      <c r="AP22" s="272"/>
      <c r="AQ22"/>
      <c r="AR22"/>
      <c r="AS22" s="272"/>
      <c r="AT22" s="272"/>
      <c r="AU22" s="272"/>
      <c r="AV22" s="272"/>
      <c r="AW22" s="272"/>
      <c r="AX22" s="272"/>
      <c r="AY22" s="272"/>
      <c r="AZ22" s="272"/>
      <c r="BA22" s="272"/>
      <c r="BB22" s="272"/>
      <c r="BC22" s="272"/>
      <c r="BD22" s="272"/>
      <c r="BE22" s="272"/>
      <c r="BF22" s="272"/>
      <c r="BG22" s="272"/>
      <c r="BH22" s="272"/>
      <c r="BI22" s="272"/>
      <c r="BJ22" s="272"/>
      <c r="BK22" s="272"/>
      <c r="BL22" s="272"/>
      <c r="BM22" s="272"/>
      <c r="BN22" s="272"/>
      <c r="BO22" s="272"/>
      <c r="BP22" s="272"/>
      <c r="BQ22" s="272"/>
      <c r="BR22" s="272"/>
      <c r="BS22" s="272"/>
      <c r="BT22" s="272"/>
      <c r="BU22" s="272"/>
      <c r="BV22" s="272"/>
      <c r="BW22" s="272"/>
      <c r="BX22" s="272"/>
      <c r="BY22" s="272"/>
      <c r="BZ22" s="272"/>
      <c r="CA22" s="272"/>
      <c r="CB22" s="272"/>
      <c r="CC22" s="272"/>
      <c r="CD22" s="272"/>
      <c r="CE22" s="272"/>
      <c r="CF22" s="272"/>
      <c r="CG22" s="272"/>
      <c r="CH22" s="272"/>
      <c r="CI22" s="272"/>
      <c r="CJ22" s="272"/>
      <c r="CK22" s="272"/>
      <c r="CL22" s="272"/>
      <c r="CM22" s="272"/>
      <c r="CN22" s="272"/>
      <c r="CO22" s="272"/>
      <c r="CP22" s="272"/>
      <c r="CQ22" s="272"/>
      <c r="CR22" s="272"/>
      <c r="CS22" s="272"/>
      <c r="CT22" s="272"/>
      <c r="CU22" s="272"/>
      <c r="CV22" s="272"/>
      <c r="CW22" s="272"/>
      <c r="CX22" s="272"/>
      <c r="CY22" s="272"/>
      <c r="CZ22" s="272"/>
      <c r="DA22" s="272"/>
      <c r="DB22" s="272"/>
      <c r="DC22" s="272"/>
      <c r="DD22" s="272"/>
      <c r="DE22" s="272"/>
      <c r="DF22" s="272"/>
      <c r="DG22" s="272"/>
      <c r="DH22" s="272"/>
      <c r="DI22" s="272"/>
      <c r="DJ22" s="272"/>
      <c r="DK22" s="272"/>
      <c r="DL22" s="272"/>
      <c r="DM22" s="272"/>
      <c r="DN22" s="272"/>
      <c r="DO22" s="272"/>
      <c r="DP22" s="272"/>
      <c r="DQ22" s="272"/>
      <c r="DR22" s="272"/>
      <c r="DS22" s="272"/>
      <c r="DT22" s="272"/>
      <c r="DU22" s="272"/>
      <c r="DV22" s="272"/>
      <c r="DW22" s="272"/>
      <c r="DX22" s="272"/>
      <c r="DY22" s="272"/>
      <c r="DZ22" s="272"/>
      <c r="EA22" s="272"/>
    </row>
    <row r="23" spans="1:131" s="298" customFormat="1" ht="15" customHeight="1" x14ac:dyDescent="0.25">
      <c r="A23" s="247">
        <v>2022</v>
      </c>
      <c r="B23" s="274" t="s">
        <v>51</v>
      </c>
      <c r="C23" s="446"/>
      <c r="D23" s="290"/>
      <c r="E23" s="250"/>
      <c r="F23" s="251">
        <f t="shared" si="0"/>
        <v>0</v>
      </c>
      <c r="G23" s="302"/>
      <c r="H23" s="323"/>
      <c r="I23" s="324"/>
      <c r="J23" s="255" t="e">
        <f t="shared" si="1"/>
        <v>#DIV/0!</v>
      </c>
      <c r="K23" s="255" t="e">
        <f t="shared" si="8"/>
        <v>#DIV/0!</v>
      </c>
      <c r="L23" s="325"/>
      <c r="M23" s="257" t="e">
        <f t="shared" si="9"/>
        <v>#DIV/0!</v>
      </c>
      <c r="N23" s="324"/>
      <c r="O23" s="257" t="e">
        <f t="shared" si="12"/>
        <v>#DIV/0!</v>
      </c>
      <c r="P23" s="326"/>
      <c r="Q23" s="292" t="e">
        <f t="shared" si="11"/>
        <v>#DIV/0!</v>
      </c>
      <c r="R23" s="260"/>
      <c r="S23" s="307"/>
      <c r="T23" s="327"/>
      <c r="U23" s="315"/>
      <c r="V23" s="263" t="e">
        <f>SUM(T23)*1000000/E24</f>
        <v>#DIV/0!</v>
      </c>
      <c r="W23" s="328"/>
      <c r="X23" s="317"/>
      <c r="Y23" s="265" t="e">
        <f t="shared" si="3"/>
        <v>#DIV/0!</v>
      </c>
      <c r="Z23" s="329"/>
      <c r="AA23" s="266" t="e">
        <f t="shared" si="4"/>
        <v>#DIV/0!</v>
      </c>
      <c r="AB23" s="267" t="e">
        <f t="shared" si="5"/>
        <v>#DIV/0!</v>
      </c>
      <c r="AC23" s="255" t="e">
        <f t="shared" si="6"/>
        <v>#DIV/0!</v>
      </c>
      <c r="AD23" s="293">
        <f t="shared" si="7"/>
        <v>0</v>
      </c>
      <c r="AE23" s="270"/>
      <c r="AF23" s="272"/>
      <c r="AG23" s="272"/>
      <c r="AH23" s="294"/>
      <c r="AI23" s="272"/>
      <c r="AJ23" s="272"/>
      <c r="AK23"/>
      <c r="AL23" s="272"/>
      <c r="AM23" s="272"/>
      <c r="AN23" s="272"/>
      <c r="AO23" s="272"/>
      <c r="AP23" s="272"/>
      <c r="AQ23"/>
      <c r="AR23"/>
      <c r="AS23" s="272"/>
      <c r="AT23" s="272"/>
      <c r="AU23" s="272"/>
      <c r="AV23" s="272"/>
      <c r="AW23" s="272"/>
      <c r="AX23" s="272"/>
      <c r="AY23" s="272"/>
      <c r="AZ23" s="272"/>
      <c r="BA23" s="272"/>
      <c r="BB23" s="272"/>
      <c r="BC23" s="272"/>
      <c r="BD23" s="272"/>
      <c r="BE23" s="272"/>
      <c r="BF23" s="272"/>
      <c r="BG23" s="272"/>
      <c r="BH23" s="272"/>
      <c r="BI23" s="272"/>
      <c r="BJ23" s="272"/>
      <c r="BK23" s="272"/>
      <c r="BL23" s="272"/>
      <c r="BM23" s="272"/>
      <c r="BN23" s="272"/>
      <c r="BO23" s="272"/>
      <c r="BP23" s="272"/>
      <c r="BQ23" s="272"/>
      <c r="BR23" s="272"/>
      <c r="BS23" s="272"/>
      <c r="BT23" s="272"/>
      <c r="BU23" s="272"/>
      <c r="BV23" s="272"/>
      <c r="BW23" s="272"/>
      <c r="BX23" s="272"/>
      <c r="BY23" s="272"/>
      <c r="BZ23" s="272"/>
      <c r="CA23" s="272"/>
      <c r="CB23" s="272"/>
      <c r="CC23" s="272"/>
      <c r="CD23" s="272"/>
      <c r="CE23" s="272"/>
      <c r="CF23" s="272"/>
      <c r="CG23" s="272"/>
      <c r="CH23" s="272"/>
      <c r="CI23" s="272"/>
      <c r="CJ23" s="272"/>
      <c r="CK23" s="272"/>
      <c r="CL23" s="272"/>
      <c r="CM23" s="272"/>
      <c r="CN23" s="272"/>
      <c r="CO23" s="272"/>
      <c r="CP23" s="272"/>
      <c r="CQ23" s="272"/>
      <c r="CR23" s="272"/>
      <c r="CS23" s="272"/>
      <c r="CT23" s="272"/>
      <c r="CU23" s="272"/>
      <c r="CV23" s="272"/>
      <c r="CW23" s="272"/>
      <c r="CX23" s="272"/>
      <c r="CY23" s="272"/>
      <c r="CZ23" s="272"/>
      <c r="DA23" s="272"/>
      <c r="DB23" s="272"/>
      <c r="DC23" s="272"/>
      <c r="DD23" s="272"/>
      <c r="DE23" s="272"/>
      <c r="DF23" s="272"/>
      <c r="DG23" s="272"/>
      <c r="DH23" s="272"/>
      <c r="DI23" s="272"/>
      <c r="DJ23" s="272"/>
      <c r="DK23" s="272"/>
      <c r="DL23" s="272"/>
      <c r="DM23" s="272"/>
      <c r="DN23" s="272"/>
      <c r="DO23" s="272"/>
      <c r="DP23" s="272"/>
      <c r="DQ23" s="272"/>
      <c r="DR23" s="272"/>
      <c r="DS23" s="272"/>
      <c r="DT23" s="272"/>
      <c r="DU23" s="272"/>
      <c r="DV23" s="272"/>
      <c r="DW23" s="272"/>
      <c r="DX23" s="272"/>
      <c r="DY23" s="272"/>
      <c r="DZ23" s="272"/>
      <c r="EA23" s="272"/>
    </row>
    <row r="24" spans="1:131" s="297" customFormat="1" ht="15" customHeight="1" thickBot="1" x14ac:dyDescent="0.3">
      <c r="A24" s="247">
        <v>2022</v>
      </c>
      <c r="B24" s="330" t="s">
        <v>50</v>
      </c>
      <c r="C24" s="446"/>
      <c r="D24" s="290"/>
      <c r="E24" s="250"/>
      <c r="F24" s="251">
        <f>D24+E24</f>
        <v>0</v>
      </c>
      <c r="G24" s="302"/>
      <c r="H24" s="331"/>
      <c r="I24" s="332"/>
      <c r="J24" s="255" t="e">
        <f>H24*1000000/D24</f>
        <v>#DIV/0!</v>
      </c>
      <c r="K24" s="255" t="e">
        <f>H24*200000/D24</f>
        <v>#DIV/0!</v>
      </c>
      <c r="L24" s="333"/>
      <c r="M24" s="257" t="e">
        <f>SUM(L24)*200000/D24</f>
        <v>#DIV/0!</v>
      </c>
      <c r="N24" s="332"/>
      <c r="O24" s="257" t="e">
        <f>SUM(H24,L24)*1000000/D24</f>
        <v>#DIV/0!</v>
      </c>
      <c r="P24" s="334"/>
      <c r="Q24" s="292" t="e">
        <f>SUM(G24,H24,L24,P24)*200000/D24</f>
        <v>#DIV/0!</v>
      </c>
      <c r="R24" s="260"/>
      <c r="S24" s="307"/>
      <c r="T24" s="331"/>
      <c r="U24" s="335"/>
      <c r="V24" s="263" t="e">
        <f>SUM(T24)*1000000/E25</f>
        <v>#DIV/0!</v>
      </c>
      <c r="W24" s="336"/>
      <c r="X24" s="337"/>
      <c r="Y24" s="265" t="e">
        <f>SUM(T24,W24)*1000000/E24</f>
        <v>#DIV/0!</v>
      </c>
      <c r="Z24" s="334"/>
      <c r="AA24" s="266" t="e">
        <f>Z24*1000000/E24</f>
        <v>#DIV/0!</v>
      </c>
      <c r="AB24" s="267" t="e">
        <f>SUM(H24,T24)*1000000/F24</f>
        <v>#DIV/0!</v>
      </c>
      <c r="AC24" s="255" t="e">
        <f>SUM(H24,L24,T24,W24)*1000000/F24</f>
        <v>#DIV/0!</v>
      </c>
      <c r="AD24" s="293">
        <f>SUM(P24,Z24)</f>
        <v>0</v>
      </c>
      <c r="AE24" s="270"/>
      <c r="AF24" s="272"/>
      <c r="AG24" s="272"/>
      <c r="AH24" s="273"/>
      <c r="AI24" s="272"/>
      <c r="AJ24" s="272"/>
      <c r="AK24"/>
      <c r="AL24" s="272"/>
      <c r="AM24" s="272"/>
      <c r="AN24" s="272"/>
      <c r="AO24" s="272"/>
      <c r="AP24" s="272"/>
      <c r="AQ24"/>
      <c r="AR24"/>
      <c r="AS24" s="272"/>
      <c r="AT24" s="272"/>
      <c r="AU24" s="272"/>
      <c r="AV24" s="272"/>
      <c r="AW24" s="272"/>
      <c r="AX24" s="272"/>
      <c r="AY24" s="272"/>
      <c r="AZ24" s="272"/>
      <c r="BA24" s="272"/>
      <c r="BB24" s="272"/>
      <c r="BC24" s="272"/>
      <c r="BD24" s="272"/>
      <c r="BE24" s="272"/>
      <c r="BF24" s="272"/>
      <c r="BG24" s="272"/>
      <c r="BH24" s="272"/>
      <c r="BI24" s="272"/>
      <c r="BJ24" s="272"/>
      <c r="BK24" s="272"/>
      <c r="BL24" s="272"/>
      <c r="BM24" s="272"/>
      <c r="BN24" s="272"/>
      <c r="BO24" s="272"/>
      <c r="BP24" s="272"/>
      <c r="BQ24" s="272"/>
      <c r="BR24" s="272"/>
      <c r="BS24" s="272"/>
      <c r="BT24" s="272"/>
      <c r="BU24" s="272"/>
      <c r="BV24" s="272"/>
      <c r="BW24" s="272"/>
      <c r="BX24" s="272"/>
      <c r="BY24" s="272"/>
      <c r="BZ24" s="272"/>
      <c r="CA24" s="272"/>
      <c r="CB24" s="272"/>
      <c r="CC24" s="272"/>
      <c r="CD24" s="272"/>
      <c r="CE24" s="272"/>
      <c r="CF24" s="272"/>
      <c r="CG24" s="272"/>
      <c r="CH24" s="272"/>
      <c r="CI24" s="272"/>
      <c r="CJ24" s="272"/>
      <c r="CK24" s="272"/>
      <c r="CL24" s="272"/>
      <c r="CM24" s="272"/>
      <c r="CN24" s="272"/>
      <c r="CO24" s="272"/>
      <c r="CP24" s="272"/>
      <c r="CQ24" s="272"/>
      <c r="CR24" s="272"/>
      <c r="CS24" s="272"/>
      <c r="CT24" s="272"/>
      <c r="CU24" s="272"/>
      <c r="CV24" s="272"/>
      <c r="CW24" s="272"/>
      <c r="CX24" s="272"/>
      <c r="CY24" s="272"/>
      <c r="CZ24" s="272"/>
      <c r="DA24" s="272"/>
      <c r="DB24" s="272"/>
      <c r="DC24" s="272"/>
      <c r="DD24" s="272"/>
      <c r="DE24" s="272"/>
      <c r="DF24" s="272"/>
      <c r="DG24" s="272"/>
      <c r="DH24" s="272"/>
      <c r="DI24" s="272"/>
      <c r="DJ24" s="272"/>
      <c r="DK24" s="272"/>
      <c r="DL24" s="272"/>
      <c r="DM24" s="272"/>
      <c r="DN24" s="272"/>
      <c r="DO24" s="272"/>
      <c r="DP24" s="272"/>
      <c r="DQ24" s="272"/>
      <c r="DR24" s="272"/>
      <c r="DS24" s="272"/>
      <c r="DT24" s="272"/>
      <c r="DU24" s="272"/>
      <c r="DV24" s="272"/>
      <c r="DW24" s="272"/>
      <c r="DX24" s="272"/>
      <c r="DY24" s="272"/>
      <c r="DZ24" s="272"/>
      <c r="EA24" s="272"/>
    </row>
    <row r="25" spans="1:131" ht="18" customHeight="1" thickBot="1" x14ac:dyDescent="0.3">
      <c r="A25" s="247">
        <v>2022</v>
      </c>
      <c r="B25" s="330" t="s">
        <v>49</v>
      </c>
      <c r="C25" s="446"/>
      <c r="D25" s="290"/>
      <c r="E25" s="339"/>
      <c r="F25" s="251">
        <f>D25+E25</f>
        <v>0</v>
      </c>
      <c r="G25" s="302"/>
      <c r="H25" s="331"/>
      <c r="I25" s="332"/>
      <c r="J25" s="255" t="e">
        <f>H25*1000000/D25</f>
        <v>#DIV/0!</v>
      </c>
      <c r="K25" s="255" t="e">
        <f>H25*200000/D25</f>
        <v>#DIV/0!</v>
      </c>
      <c r="L25" s="333"/>
      <c r="M25" s="257" t="e">
        <f>SUM(L25)*200000/D25</f>
        <v>#DIV/0!</v>
      </c>
      <c r="N25" s="332"/>
      <c r="O25" s="257" t="e">
        <f>SUM(H25,L25)*1000000/D25</f>
        <v>#DIV/0!</v>
      </c>
      <c r="P25" s="334"/>
      <c r="Q25" s="292" t="e">
        <f>SUM(G25,H25,L25,P25)*200000/D25</f>
        <v>#DIV/0!</v>
      </c>
      <c r="R25" s="340"/>
      <c r="S25" s="307"/>
      <c r="T25" s="331"/>
      <c r="U25" s="335"/>
      <c r="V25" s="263" t="e">
        <f>SUM(T25)*1000000/E26</f>
        <v>#VALUE!</v>
      </c>
      <c r="W25" s="336"/>
      <c r="X25" s="337"/>
      <c r="Y25" s="265" t="e">
        <f>SUM(T25,W25)*1000000/E25</f>
        <v>#DIV/0!</v>
      </c>
      <c r="Z25" s="334"/>
      <c r="AA25" s="266" t="e">
        <f>Z25*1000000/E25</f>
        <v>#DIV/0!</v>
      </c>
      <c r="AB25" s="267" t="e">
        <f>SUM(H25,T25)*1000000/F25</f>
        <v>#DIV/0!</v>
      </c>
      <c r="AC25" s="255" t="e">
        <f>SUM(H25,L25,T25,W25)*1000000/F25</f>
        <v>#DIV/0!</v>
      </c>
      <c r="AD25" s="293">
        <f>SUM(P25,Z25)</f>
        <v>0</v>
      </c>
      <c r="AF25" s="272"/>
      <c r="AH25" s="273"/>
      <c r="AK25"/>
      <c r="AL25" s="272"/>
      <c r="AM25" s="272"/>
      <c r="AQ25"/>
      <c r="AR25"/>
    </row>
    <row r="26" spans="1:131" ht="50.25" customHeight="1" thickBot="1" x14ac:dyDescent="0.3">
      <c r="A26" s="341" t="s">
        <v>175</v>
      </c>
      <c r="B26" s="342"/>
      <c r="C26" s="447"/>
      <c r="D26" s="343" t="s">
        <v>151</v>
      </c>
      <c r="E26" s="344" t="s">
        <v>152</v>
      </c>
      <c r="F26" s="345" t="s">
        <v>153</v>
      </c>
      <c r="G26" s="228" t="s">
        <v>154</v>
      </c>
      <c r="H26" s="346" t="s">
        <v>155</v>
      </c>
      <c r="I26" s="230" t="s">
        <v>156</v>
      </c>
      <c r="J26" s="347" t="s">
        <v>176</v>
      </c>
      <c r="K26" s="223" t="s">
        <v>177</v>
      </c>
      <c r="L26" s="348" t="s">
        <v>158</v>
      </c>
      <c r="M26" s="349" t="s">
        <v>159</v>
      </c>
      <c r="N26" s="230" t="s">
        <v>160</v>
      </c>
      <c r="O26" s="231" t="s">
        <v>161</v>
      </c>
      <c r="P26" s="350" t="s">
        <v>162</v>
      </c>
      <c r="Q26" s="233" t="s">
        <v>163</v>
      </c>
      <c r="R26" s="234"/>
      <c r="S26" s="351" t="s">
        <v>154</v>
      </c>
      <c r="T26" s="352" t="s">
        <v>164</v>
      </c>
      <c r="U26" s="230" t="s">
        <v>165</v>
      </c>
      <c r="V26" s="237" t="s">
        <v>166</v>
      </c>
      <c r="W26" s="353" t="s">
        <v>167</v>
      </c>
      <c r="X26" s="230" t="s">
        <v>168</v>
      </c>
      <c r="Y26" s="226" t="s">
        <v>169</v>
      </c>
      <c r="Z26" s="354" t="s">
        <v>170</v>
      </c>
      <c r="AA26" s="239" t="s">
        <v>171</v>
      </c>
      <c r="AB26" s="240" t="s">
        <v>172</v>
      </c>
      <c r="AC26" s="355" t="s">
        <v>173</v>
      </c>
      <c r="AD26" s="241" t="s">
        <v>174</v>
      </c>
      <c r="AE26" s="224"/>
      <c r="AF26" s="272"/>
      <c r="AH26" s="244"/>
      <c r="AK26"/>
      <c r="AL26" s="272"/>
      <c r="AM26" s="272"/>
      <c r="AQ26"/>
      <c r="AR26"/>
    </row>
    <row r="27" spans="1:131" ht="15" customHeight="1" thickBot="1" x14ac:dyDescent="0.3">
      <c r="A27" s="356"/>
      <c r="B27" s="298"/>
      <c r="C27" s="448"/>
      <c r="D27" s="357"/>
      <c r="E27" s="357"/>
      <c r="F27" s="358"/>
      <c r="G27" s="357"/>
      <c r="H27" s="357"/>
      <c r="I27" s="298"/>
      <c r="J27" s="357"/>
      <c r="K27" s="357"/>
      <c r="L27" s="298"/>
      <c r="M27" s="298"/>
      <c r="N27" s="357"/>
      <c r="O27" s="359"/>
      <c r="P27" s="357"/>
      <c r="Q27" s="357"/>
      <c r="R27" s="357"/>
      <c r="S27" s="298"/>
      <c r="T27" s="357"/>
      <c r="U27" s="298"/>
      <c r="V27" s="357"/>
      <c r="W27" s="359"/>
      <c r="X27" s="298"/>
      <c r="Y27" s="298"/>
      <c r="Z27" s="360"/>
      <c r="AA27" s="298"/>
      <c r="AB27" s="298"/>
      <c r="AC27" s="298"/>
      <c r="AD27" s="360"/>
      <c r="AE27" s="298"/>
      <c r="AF27" s="272"/>
      <c r="AG27"/>
      <c r="AL27" s="272"/>
      <c r="AN27"/>
    </row>
    <row r="28" spans="1:131" ht="15" customHeight="1" thickBot="1" x14ac:dyDescent="0.3">
      <c r="A28" s="365" t="s">
        <v>193</v>
      </c>
      <c r="B28" s="366"/>
      <c r="C28" s="449"/>
      <c r="D28" s="367"/>
      <c r="E28" s="367"/>
      <c r="F28" s="368"/>
      <c r="G28" s="368">
        <f>SUM(G14:G25)</f>
        <v>0</v>
      </c>
      <c r="H28" s="368"/>
      <c r="I28" s="369"/>
      <c r="J28" s="370"/>
      <c r="K28" s="361" t="e">
        <f>SUM(H14:H25)*200000/#REF!</f>
        <v>#REF!</v>
      </c>
      <c r="L28" s="371"/>
      <c r="M28" s="363" t="e">
        <f>SUM(L14:L25)*200000/#REF!</f>
        <v>#REF!</v>
      </c>
      <c r="N28" s="368"/>
      <c r="O28" s="361" t="e">
        <f>SUM(H14:H25,L14:L25)*200000/#REF!</f>
        <v>#REF!</v>
      </c>
      <c r="P28" s="372"/>
      <c r="Q28" s="361" t="e">
        <f>SUM(G14:G25,H14:H25,L14:L25,P14:P25)*200000/#REF!</f>
        <v>#REF!</v>
      </c>
      <c r="R28" s="373"/>
      <c r="S28" s="369"/>
      <c r="T28" s="368"/>
      <c r="U28" s="371"/>
      <c r="V28" s="363" t="e">
        <f>SUM(T14:T25)*200000/#REF!</f>
        <v>#REF!</v>
      </c>
      <c r="W28" s="374"/>
      <c r="X28" s="375"/>
      <c r="Y28" s="369"/>
      <c r="Z28" s="372"/>
      <c r="AA28" s="376"/>
      <c r="AB28" s="376"/>
      <c r="AC28" s="376"/>
      <c r="AD28" s="372"/>
      <c r="AF28" s="272"/>
      <c r="AG28"/>
      <c r="AL28" s="272"/>
      <c r="AN28"/>
    </row>
    <row r="29" spans="1:131" ht="15" customHeight="1" x14ac:dyDescent="0.25">
      <c r="J29" s="377"/>
      <c r="K29" s="377"/>
      <c r="L29" s="289"/>
      <c r="M29" s="289"/>
      <c r="N29"/>
      <c r="S29" s="289"/>
      <c r="T29" s="378"/>
      <c r="U29" s="378"/>
      <c r="V29" s="289"/>
      <c r="W29" s="289"/>
      <c r="Y29"/>
      <c r="AA29" s="379"/>
      <c r="AI29"/>
      <c r="AL29" s="272"/>
      <c r="AM29" s="272"/>
      <c r="AO29"/>
      <c r="AP29"/>
    </row>
    <row r="30" spans="1:131" ht="15" customHeight="1" thickBot="1" x14ac:dyDescent="0.3">
      <c r="N30" s="380"/>
    </row>
    <row r="31" spans="1:131" ht="41.25" customHeight="1" x14ac:dyDescent="0.25">
      <c r="A31" s="222"/>
      <c r="B31" s="223" t="s">
        <v>150</v>
      </c>
      <c r="C31" s="243"/>
      <c r="D31" s="381" t="s">
        <v>178</v>
      </c>
      <c r="E31" s="382" t="s">
        <v>179</v>
      </c>
      <c r="F31" s="383" t="s">
        <v>197</v>
      </c>
      <c r="G31" s="383" t="s">
        <v>180</v>
      </c>
      <c r="H31" s="384" t="s">
        <v>195</v>
      </c>
      <c r="I31" s="440" t="s">
        <v>196</v>
      </c>
      <c r="J31" s="385" t="s">
        <v>147</v>
      </c>
      <c r="K31" s="386" t="s">
        <v>194</v>
      </c>
      <c r="L31" s="388" t="s">
        <v>149</v>
      </c>
      <c r="M31" s="389" t="s">
        <v>139</v>
      </c>
      <c r="N31" s="272"/>
      <c r="O31" s="387"/>
      <c r="P31" s="272"/>
      <c r="Q31" s="272"/>
      <c r="S31"/>
      <c r="T31" s="432"/>
      <c r="U31" s="432"/>
      <c r="V31" s="432"/>
      <c r="W31" s="432"/>
      <c r="X31" s="432"/>
      <c r="Y31" s="432"/>
    </row>
    <row r="32" spans="1:131" ht="15" hidden="1" customHeight="1" x14ac:dyDescent="0.25">
      <c r="A32" s="247">
        <v>2021</v>
      </c>
      <c r="B32" s="248" t="s">
        <v>60</v>
      </c>
      <c r="C32" s="338"/>
      <c r="D32" s="390" t="e">
        <f t="shared" ref="D32:D55" si="14">I2*1000/D2</f>
        <v>#DIV/0!</v>
      </c>
      <c r="E32" s="391" t="e">
        <f t="shared" ref="E32:E55" si="15">SUM(U2)*1000/F2</f>
        <v>#DIV/0!</v>
      </c>
      <c r="F32" s="392"/>
      <c r="G32" s="393"/>
      <c r="H32" s="394"/>
      <c r="I32" s="441" t="e">
        <f t="shared" ref="I32:I55" si="16">SUM(H32)*1000000/D2</f>
        <v>#DIV/0!</v>
      </c>
      <c r="J32" s="395"/>
      <c r="K32" s="396" t="e">
        <f t="shared" ref="K32:K43" si="17">SUM(J32)*1000000/E2</f>
        <v>#DIV/0!</v>
      </c>
      <c r="L32" s="397"/>
      <c r="M32" s="398" t="e">
        <f t="shared" ref="M32:M55" si="18">SUM(L32)*1000000/D2</f>
        <v>#DIV/0!</v>
      </c>
      <c r="N32" s="272"/>
      <c r="O32" s="387"/>
      <c r="P32" s="272"/>
      <c r="Q32" s="272"/>
      <c r="S32"/>
      <c r="T32" s="433"/>
      <c r="U32" s="434"/>
      <c r="V32" s="434"/>
      <c r="W32" s="435"/>
      <c r="X32" s="434"/>
      <c r="Y32" s="434"/>
    </row>
    <row r="33" spans="1:25" ht="15" hidden="1" customHeight="1" x14ac:dyDescent="0.25">
      <c r="A33" s="247">
        <v>2021</v>
      </c>
      <c r="B33" s="274" t="s">
        <v>59</v>
      </c>
      <c r="C33" s="338"/>
      <c r="D33" s="390" t="e">
        <f t="shared" si="14"/>
        <v>#DIV/0!</v>
      </c>
      <c r="E33" s="391" t="e">
        <f t="shared" si="15"/>
        <v>#DIV/0!</v>
      </c>
      <c r="F33" s="392"/>
      <c r="G33" s="393"/>
      <c r="H33" s="394"/>
      <c r="I33" s="441" t="e">
        <f t="shared" si="16"/>
        <v>#DIV/0!</v>
      </c>
      <c r="J33" s="395"/>
      <c r="K33" s="396" t="e">
        <f t="shared" si="17"/>
        <v>#DIV/0!</v>
      </c>
      <c r="L33" s="397"/>
      <c r="M33" s="398" t="e">
        <f t="shared" si="18"/>
        <v>#DIV/0!</v>
      </c>
      <c r="N33" s="272"/>
      <c r="O33" s="387"/>
      <c r="P33" s="272"/>
      <c r="Q33" s="272"/>
      <c r="S33"/>
      <c r="T33" s="433"/>
      <c r="U33" s="434"/>
      <c r="V33" s="434"/>
      <c r="W33" s="435"/>
      <c r="X33" s="434"/>
      <c r="Y33" s="434"/>
    </row>
    <row r="34" spans="1:25" ht="15" hidden="1" customHeight="1" x14ac:dyDescent="0.25">
      <c r="A34" s="247">
        <v>2021</v>
      </c>
      <c r="B34" s="248" t="s">
        <v>58</v>
      </c>
      <c r="C34" s="338"/>
      <c r="D34" s="390" t="e">
        <f t="shared" si="14"/>
        <v>#DIV/0!</v>
      </c>
      <c r="E34" s="391" t="e">
        <f t="shared" si="15"/>
        <v>#DIV/0!</v>
      </c>
      <c r="F34" s="392"/>
      <c r="G34" s="393"/>
      <c r="H34" s="394"/>
      <c r="I34" s="441" t="e">
        <f t="shared" si="16"/>
        <v>#DIV/0!</v>
      </c>
      <c r="J34" s="395"/>
      <c r="K34" s="396" t="e">
        <f t="shared" si="17"/>
        <v>#DIV/0!</v>
      </c>
      <c r="L34" s="397"/>
      <c r="M34" s="398" t="e">
        <f t="shared" si="18"/>
        <v>#DIV/0!</v>
      </c>
      <c r="N34" s="272"/>
      <c r="O34" s="387"/>
      <c r="P34" s="272"/>
      <c r="Q34" s="272"/>
      <c r="S34"/>
      <c r="T34" s="433"/>
      <c r="U34" s="434"/>
      <c r="V34" s="434"/>
      <c r="W34" s="435"/>
      <c r="X34" s="434"/>
      <c r="Y34" s="434"/>
    </row>
    <row r="35" spans="1:25" ht="15" hidden="1" customHeight="1" x14ac:dyDescent="0.25">
      <c r="A35" s="247">
        <v>2021</v>
      </c>
      <c r="B35" s="274" t="s">
        <v>57</v>
      </c>
      <c r="C35" s="338"/>
      <c r="D35" s="390" t="e">
        <f t="shared" si="14"/>
        <v>#DIV/0!</v>
      </c>
      <c r="E35" s="391" t="e">
        <f t="shared" si="15"/>
        <v>#DIV/0!</v>
      </c>
      <c r="F35" s="392"/>
      <c r="G35" s="393"/>
      <c r="H35" s="394"/>
      <c r="I35" s="441" t="e">
        <f t="shared" si="16"/>
        <v>#DIV/0!</v>
      </c>
      <c r="J35" s="395"/>
      <c r="K35" s="396" t="e">
        <f t="shared" si="17"/>
        <v>#DIV/0!</v>
      </c>
      <c r="L35" s="397"/>
      <c r="M35" s="398" t="e">
        <f t="shared" si="18"/>
        <v>#DIV/0!</v>
      </c>
      <c r="N35" s="272"/>
      <c r="O35" s="387"/>
      <c r="P35" s="272"/>
      <c r="Q35" s="272"/>
      <c r="S35"/>
      <c r="T35" s="433"/>
      <c r="U35" s="434"/>
      <c r="V35" s="434"/>
      <c r="W35" s="435"/>
      <c r="X35" s="434"/>
      <c r="Y35" s="434"/>
    </row>
    <row r="36" spans="1:25" ht="15" hidden="1" customHeight="1" x14ac:dyDescent="0.25">
      <c r="A36" s="247">
        <v>2021</v>
      </c>
      <c r="B36" s="248" t="s">
        <v>56</v>
      </c>
      <c r="C36" s="338"/>
      <c r="D36" s="390" t="e">
        <f t="shared" si="14"/>
        <v>#DIV/0!</v>
      </c>
      <c r="E36" s="391" t="e">
        <f t="shared" si="15"/>
        <v>#DIV/0!</v>
      </c>
      <c r="F36" s="392"/>
      <c r="G36" s="393"/>
      <c r="H36" s="394"/>
      <c r="I36" s="441" t="e">
        <f t="shared" si="16"/>
        <v>#DIV/0!</v>
      </c>
      <c r="J36" s="395"/>
      <c r="K36" s="396" t="e">
        <f t="shared" si="17"/>
        <v>#DIV/0!</v>
      </c>
      <c r="L36" s="397"/>
      <c r="M36" s="398" t="e">
        <f t="shared" si="18"/>
        <v>#DIV/0!</v>
      </c>
      <c r="N36" s="272"/>
      <c r="O36" s="387"/>
      <c r="P36" s="272"/>
      <c r="Q36" s="272"/>
      <c r="S36"/>
      <c r="T36" s="433"/>
      <c r="U36" s="434"/>
      <c r="V36" s="434"/>
      <c r="W36" s="435"/>
      <c r="X36" s="434"/>
      <c r="Y36" s="434"/>
    </row>
    <row r="37" spans="1:25" ht="15" hidden="1" customHeight="1" x14ac:dyDescent="0.25">
      <c r="A37" s="247">
        <v>2021</v>
      </c>
      <c r="B37" s="274" t="s">
        <v>55</v>
      </c>
      <c r="C37" s="338"/>
      <c r="D37" s="390" t="e">
        <f t="shared" si="14"/>
        <v>#DIV/0!</v>
      </c>
      <c r="E37" s="391" t="e">
        <f t="shared" si="15"/>
        <v>#DIV/0!</v>
      </c>
      <c r="F37" s="392"/>
      <c r="G37" s="393"/>
      <c r="H37" s="394"/>
      <c r="I37" s="441" t="e">
        <f t="shared" si="16"/>
        <v>#DIV/0!</v>
      </c>
      <c r="J37" s="395"/>
      <c r="K37" s="396" t="e">
        <f t="shared" si="17"/>
        <v>#DIV/0!</v>
      </c>
      <c r="L37" s="397"/>
      <c r="M37" s="398" t="e">
        <f t="shared" si="18"/>
        <v>#DIV/0!</v>
      </c>
      <c r="N37" s="272"/>
      <c r="O37" s="387"/>
      <c r="P37" s="272"/>
      <c r="Q37" s="272"/>
      <c r="S37"/>
      <c r="T37" s="433"/>
      <c r="U37" s="434"/>
      <c r="V37" s="434"/>
      <c r="W37" s="435"/>
      <c r="X37" s="434"/>
      <c r="Y37" s="434"/>
    </row>
    <row r="38" spans="1:25" ht="15" hidden="1" customHeight="1" x14ac:dyDescent="0.25">
      <c r="A38" s="247">
        <v>2021</v>
      </c>
      <c r="B38" s="248" t="s">
        <v>54</v>
      </c>
      <c r="C38" s="338"/>
      <c r="D38" s="390" t="e">
        <f t="shared" si="14"/>
        <v>#DIV/0!</v>
      </c>
      <c r="E38" s="391" t="e">
        <f t="shared" si="15"/>
        <v>#DIV/0!</v>
      </c>
      <c r="F38" s="392"/>
      <c r="G38" s="393"/>
      <c r="H38" s="394"/>
      <c r="I38" s="441" t="e">
        <f t="shared" si="16"/>
        <v>#DIV/0!</v>
      </c>
      <c r="J38" s="395"/>
      <c r="K38" s="396" t="e">
        <f t="shared" si="17"/>
        <v>#DIV/0!</v>
      </c>
      <c r="L38" s="397"/>
      <c r="M38" s="398" t="e">
        <f t="shared" si="18"/>
        <v>#DIV/0!</v>
      </c>
      <c r="N38" s="272"/>
      <c r="O38" s="387"/>
      <c r="P38" s="272"/>
      <c r="Q38" s="272"/>
      <c r="S38"/>
      <c r="T38" s="433"/>
      <c r="U38" s="434"/>
      <c r="V38" s="434"/>
      <c r="W38" s="435"/>
      <c r="X38" s="434"/>
      <c r="Y38" s="434"/>
    </row>
    <row r="39" spans="1:25" ht="15" hidden="1" customHeight="1" x14ac:dyDescent="0.25">
      <c r="A39" s="247">
        <v>2021</v>
      </c>
      <c r="B39" s="274" t="s">
        <v>53</v>
      </c>
      <c r="C39" s="338"/>
      <c r="D39" s="390" t="e">
        <f t="shared" si="14"/>
        <v>#DIV/0!</v>
      </c>
      <c r="E39" s="391" t="e">
        <f t="shared" si="15"/>
        <v>#DIV/0!</v>
      </c>
      <c r="F39" s="392"/>
      <c r="G39" s="393"/>
      <c r="H39" s="394"/>
      <c r="I39" s="441" t="e">
        <f t="shared" si="16"/>
        <v>#DIV/0!</v>
      </c>
      <c r="J39" s="395"/>
      <c r="K39" s="396" t="e">
        <f t="shared" si="17"/>
        <v>#DIV/0!</v>
      </c>
      <c r="L39" s="397"/>
      <c r="M39" s="398" t="e">
        <f t="shared" si="18"/>
        <v>#DIV/0!</v>
      </c>
      <c r="N39" s="272"/>
      <c r="O39" s="387"/>
      <c r="P39" s="272"/>
      <c r="Q39" s="272"/>
      <c r="S39"/>
      <c r="T39" s="433"/>
      <c r="U39" s="434"/>
      <c r="V39" s="434"/>
      <c r="W39" s="435"/>
      <c r="X39" s="434"/>
      <c r="Y39" s="434"/>
    </row>
    <row r="40" spans="1:25" ht="15" hidden="1" customHeight="1" x14ac:dyDescent="0.25">
      <c r="A40" s="247">
        <v>2021</v>
      </c>
      <c r="B40" s="248" t="s">
        <v>52</v>
      </c>
      <c r="C40" s="338"/>
      <c r="D40" s="390" t="e">
        <f t="shared" si="14"/>
        <v>#DIV/0!</v>
      </c>
      <c r="E40" s="391" t="e">
        <f t="shared" si="15"/>
        <v>#DIV/0!</v>
      </c>
      <c r="F40" s="392"/>
      <c r="G40" s="393"/>
      <c r="H40" s="394"/>
      <c r="I40" s="441" t="e">
        <f t="shared" si="16"/>
        <v>#DIV/0!</v>
      </c>
      <c r="J40" s="395"/>
      <c r="K40" s="396" t="e">
        <f t="shared" si="17"/>
        <v>#DIV/0!</v>
      </c>
      <c r="L40" s="397"/>
      <c r="M40" s="398" t="e">
        <f t="shared" si="18"/>
        <v>#DIV/0!</v>
      </c>
      <c r="N40" s="272"/>
      <c r="O40" s="387"/>
      <c r="P40" s="272"/>
      <c r="Q40" s="272"/>
      <c r="S40"/>
      <c r="T40" s="433"/>
      <c r="U40" s="434"/>
      <c r="V40" s="434"/>
      <c r="W40" s="435"/>
      <c r="X40" s="434"/>
      <c r="Y40" s="434"/>
    </row>
    <row r="41" spans="1:25" ht="15" hidden="1" customHeight="1" x14ac:dyDescent="0.25">
      <c r="A41" s="247">
        <v>2021</v>
      </c>
      <c r="B41" s="274" t="s">
        <v>51</v>
      </c>
      <c r="C41" s="338"/>
      <c r="D41" s="390" t="e">
        <f t="shared" si="14"/>
        <v>#DIV/0!</v>
      </c>
      <c r="E41" s="391" t="e">
        <f t="shared" si="15"/>
        <v>#DIV/0!</v>
      </c>
      <c r="F41" s="392"/>
      <c r="G41" s="393"/>
      <c r="H41" s="394"/>
      <c r="I41" s="441" t="e">
        <f t="shared" si="16"/>
        <v>#DIV/0!</v>
      </c>
      <c r="J41" s="395"/>
      <c r="K41" s="396" t="e">
        <f t="shared" si="17"/>
        <v>#DIV/0!</v>
      </c>
      <c r="L41" s="397"/>
      <c r="M41" s="398" t="e">
        <f t="shared" si="18"/>
        <v>#DIV/0!</v>
      </c>
      <c r="N41" s="272"/>
      <c r="O41" s="387"/>
      <c r="P41" s="272"/>
      <c r="Q41" s="272"/>
      <c r="S41"/>
      <c r="T41" s="433"/>
      <c r="U41" s="434"/>
      <c r="V41" s="434"/>
      <c r="W41" s="435"/>
      <c r="X41" s="434"/>
      <c r="Y41" s="434"/>
    </row>
    <row r="42" spans="1:25" ht="15" hidden="1" customHeight="1" x14ac:dyDescent="0.25">
      <c r="A42" s="247">
        <v>2021</v>
      </c>
      <c r="B42" s="248" t="s">
        <v>50</v>
      </c>
      <c r="C42" s="338"/>
      <c r="D42" s="390" t="e">
        <f t="shared" si="14"/>
        <v>#DIV/0!</v>
      </c>
      <c r="E42" s="391" t="e">
        <f t="shared" si="15"/>
        <v>#DIV/0!</v>
      </c>
      <c r="F42" s="392"/>
      <c r="G42" s="393"/>
      <c r="H42" s="394"/>
      <c r="I42" s="441" t="e">
        <f t="shared" si="16"/>
        <v>#DIV/0!</v>
      </c>
      <c r="J42" s="395"/>
      <c r="K42" s="396" t="e">
        <f t="shared" si="17"/>
        <v>#DIV/0!</v>
      </c>
      <c r="L42" s="397"/>
      <c r="M42" s="398" t="e">
        <f t="shared" si="18"/>
        <v>#DIV/0!</v>
      </c>
      <c r="N42" s="272"/>
      <c r="O42" s="387"/>
      <c r="P42" s="272"/>
      <c r="Q42" s="272"/>
      <c r="S42"/>
      <c r="T42" s="433"/>
      <c r="U42" s="434"/>
      <c r="V42" s="434"/>
      <c r="W42" s="435"/>
      <c r="X42" s="434"/>
      <c r="Y42" s="434"/>
    </row>
    <row r="43" spans="1:25" ht="15" hidden="1" customHeight="1" x14ac:dyDescent="0.25">
      <c r="A43" s="247">
        <v>2021</v>
      </c>
      <c r="B43" s="274" t="s">
        <v>49</v>
      </c>
      <c r="C43" s="338"/>
      <c r="D43" s="390" t="e">
        <f t="shared" si="14"/>
        <v>#DIV/0!</v>
      </c>
      <c r="E43" s="391" t="e">
        <f t="shared" si="15"/>
        <v>#DIV/0!</v>
      </c>
      <c r="F43" s="392"/>
      <c r="G43" s="393"/>
      <c r="H43" s="394"/>
      <c r="I43" s="441" t="e">
        <f t="shared" si="16"/>
        <v>#DIV/0!</v>
      </c>
      <c r="J43" s="395"/>
      <c r="K43" s="396" t="e">
        <f t="shared" si="17"/>
        <v>#DIV/0!</v>
      </c>
      <c r="L43" s="397"/>
      <c r="M43" s="398" t="e">
        <f t="shared" si="18"/>
        <v>#DIV/0!</v>
      </c>
      <c r="N43" s="272"/>
      <c r="O43" s="387"/>
      <c r="P43" s="272"/>
      <c r="Q43" s="272"/>
      <c r="S43"/>
      <c r="T43" s="433"/>
      <c r="U43" s="434"/>
      <c r="V43" s="434"/>
      <c r="W43" s="435"/>
      <c r="X43" s="434"/>
      <c r="Y43" s="434"/>
    </row>
    <row r="44" spans="1:25" ht="15" customHeight="1" x14ac:dyDescent="0.25">
      <c r="A44" s="247">
        <v>2022</v>
      </c>
      <c r="B44" s="248" t="s">
        <v>60</v>
      </c>
      <c r="C44" s="338"/>
      <c r="D44" s="390" t="e">
        <f t="shared" si="14"/>
        <v>#DIV/0!</v>
      </c>
      <c r="E44" s="391" t="e">
        <f t="shared" si="15"/>
        <v>#DIV/0!</v>
      </c>
      <c r="F44" s="392" t="e">
        <f t="shared" ref="F44:F55" si="19">SUM(N14)*1000/$D$14</f>
        <v>#DIV/0!</v>
      </c>
      <c r="G44" s="399" t="e">
        <f>SUM(X14)*1000/#REF!</f>
        <v>#REF!</v>
      </c>
      <c r="H44" s="400"/>
      <c r="I44" s="441" t="e">
        <f t="shared" si="16"/>
        <v>#DIV/0!</v>
      </c>
      <c r="J44" s="401">
        <v>2</v>
      </c>
      <c r="K44" s="396" t="e">
        <f>SUM(J44)*1000000/F14</f>
        <v>#DIV/0!</v>
      </c>
      <c r="L44" s="402"/>
      <c r="M44" s="398" t="e">
        <f t="shared" si="18"/>
        <v>#DIV/0!</v>
      </c>
      <c r="N44" s="272"/>
      <c r="O44" s="387"/>
      <c r="P44" s="272"/>
      <c r="Q44" s="272"/>
      <c r="S44"/>
      <c r="T44" s="433"/>
      <c r="U44" s="434"/>
      <c r="V44" s="434"/>
      <c r="W44" s="435"/>
      <c r="X44" s="434"/>
      <c r="Y44" s="434"/>
    </row>
    <row r="45" spans="1:25" ht="15" customHeight="1" x14ac:dyDescent="0.25">
      <c r="A45" s="247">
        <v>2022</v>
      </c>
      <c r="B45" s="274" t="s">
        <v>59</v>
      </c>
      <c r="C45" s="338"/>
      <c r="D45" s="390" t="e">
        <f t="shared" si="14"/>
        <v>#DIV/0!</v>
      </c>
      <c r="E45" s="391" t="e">
        <f t="shared" si="15"/>
        <v>#DIV/0!</v>
      </c>
      <c r="F45" s="392" t="e">
        <f t="shared" si="19"/>
        <v>#DIV/0!</v>
      </c>
      <c r="G45" s="399" t="e">
        <f>SUM(X15)*1000/#REF!</f>
        <v>#REF!</v>
      </c>
      <c r="H45" s="400"/>
      <c r="I45" s="441" t="e">
        <f t="shared" si="16"/>
        <v>#DIV/0!</v>
      </c>
      <c r="J45" s="401"/>
      <c r="K45" s="396" t="e">
        <f t="shared" ref="K45:K55" si="20">SUM(J45)*1000000/E15</f>
        <v>#DIV/0!</v>
      </c>
      <c r="L45" s="402"/>
      <c r="M45" s="398" t="e">
        <f t="shared" si="18"/>
        <v>#DIV/0!</v>
      </c>
      <c r="N45" s="272"/>
      <c r="O45" s="387"/>
      <c r="P45" s="272"/>
      <c r="Q45" s="272"/>
      <c r="S45"/>
      <c r="T45" s="433"/>
      <c r="U45" s="434"/>
      <c r="V45" s="434"/>
      <c r="W45" s="435"/>
      <c r="X45" s="434"/>
      <c r="Y45" s="434"/>
    </row>
    <row r="46" spans="1:25" ht="15" customHeight="1" x14ac:dyDescent="0.25">
      <c r="A46" s="247">
        <v>2022</v>
      </c>
      <c r="B46" s="248" t="s">
        <v>58</v>
      </c>
      <c r="C46" s="338"/>
      <c r="D46" s="390" t="e">
        <f t="shared" si="14"/>
        <v>#DIV/0!</v>
      </c>
      <c r="E46" s="391" t="e">
        <f t="shared" si="15"/>
        <v>#DIV/0!</v>
      </c>
      <c r="F46" s="392" t="e">
        <f t="shared" si="19"/>
        <v>#DIV/0!</v>
      </c>
      <c r="G46" s="399" t="e">
        <f>SUM(X16)*1000/#REF!</f>
        <v>#REF!</v>
      </c>
      <c r="H46" s="400"/>
      <c r="I46" s="441" t="e">
        <f t="shared" si="16"/>
        <v>#DIV/0!</v>
      </c>
      <c r="J46" s="401"/>
      <c r="K46" s="396" t="e">
        <f t="shared" si="20"/>
        <v>#DIV/0!</v>
      </c>
      <c r="L46" s="402"/>
      <c r="M46" s="398" t="e">
        <f t="shared" si="18"/>
        <v>#DIV/0!</v>
      </c>
      <c r="N46" s="272"/>
      <c r="O46" s="387"/>
      <c r="P46" s="272"/>
      <c r="Q46" s="272"/>
      <c r="S46"/>
      <c r="T46" s="433"/>
      <c r="U46" s="434"/>
      <c r="V46" s="434"/>
      <c r="W46" s="435"/>
      <c r="X46" s="434"/>
      <c r="Y46" s="434"/>
    </row>
    <row r="47" spans="1:25" ht="15" customHeight="1" x14ac:dyDescent="0.25">
      <c r="A47" s="247">
        <v>2022</v>
      </c>
      <c r="B47" s="274" t="s">
        <v>57</v>
      </c>
      <c r="C47" s="338"/>
      <c r="D47" s="390" t="e">
        <f t="shared" si="14"/>
        <v>#DIV/0!</v>
      </c>
      <c r="E47" s="391" t="e">
        <f t="shared" si="15"/>
        <v>#DIV/0!</v>
      </c>
      <c r="F47" s="392" t="e">
        <f t="shared" si="19"/>
        <v>#DIV/0!</v>
      </c>
      <c r="G47" s="399" t="e">
        <f>SUM(X17)*1000/#REF!</f>
        <v>#REF!</v>
      </c>
      <c r="H47" s="400"/>
      <c r="I47" s="441" t="e">
        <f t="shared" si="16"/>
        <v>#DIV/0!</v>
      </c>
      <c r="J47" s="403"/>
      <c r="K47" s="396" t="e">
        <f t="shared" si="20"/>
        <v>#DIV/0!</v>
      </c>
      <c r="L47" s="402"/>
      <c r="M47" s="398" t="e">
        <f t="shared" si="18"/>
        <v>#DIV/0!</v>
      </c>
      <c r="N47" s="272"/>
      <c r="O47" s="387"/>
      <c r="P47" s="272"/>
      <c r="Q47" s="272"/>
      <c r="S47"/>
      <c r="T47" s="433"/>
      <c r="U47" s="434"/>
      <c r="V47" s="434"/>
      <c r="W47" s="435"/>
      <c r="X47" s="434"/>
      <c r="Y47" s="434"/>
    </row>
    <row r="48" spans="1:25" ht="15" customHeight="1" x14ac:dyDescent="0.25">
      <c r="A48" s="247">
        <v>2022</v>
      </c>
      <c r="B48" s="248" t="s">
        <v>56</v>
      </c>
      <c r="C48" s="338"/>
      <c r="D48" s="390" t="e">
        <f t="shared" si="14"/>
        <v>#DIV/0!</v>
      </c>
      <c r="E48" s="391" t="e">
        <f t="shared" si="15"/>
        <v>#DIV/0!</v>
      </c>
      <c r="F48" s="392" t="e">
        <f t="shared" si="19"/>
        <v>#DIV/0!</v>
      </c>
      <c r="G48" s="399" t="e">
        <f>SUM(X18)*1000/#REF!</f>
        <v>#REF!</v>
      </c>
      <c r="H48" s="400"/>
      <c r="I48" s="441" t="e">
        <f t="shared" si="16"/>
        <v>#DIV/0!</v>
      </c>
      <c r="J48" s="403"/>
      <c r="K48" s="396" t="e">
        <f t="shared" si="20"/>
        <v>#DIV/0!</v>
      </c>
      <c r="L48" s="402"/>
      <c r="M48" s="398" t="e">
        <f t="shared" si="18"/>
        <v>#DIV/0!</v>
      </c>
      <c r="N48" s="272"/>
      <c r="O48" s="387"/>
      <c r="P48" s="272"/>
      <c r="Q48" s="272"/>
      <c r="S48"/>
      <c r="T48" s="433"/>
      <c r="U48" s="434"/>
      <c r="V48" s="434"/>
      <c r="W48" s="435"/>
      <c r="X48" s="434"/>
      <c r="Y48" s="434"/>
    </row>
    <row r="49" spans="1:27" ht="15" customHeight="1" x14ac:dyDescent="0.25">
      <c r="A49" s="247">
        <v>2022</v>
      </c>
      <c r="B49" s="274" t="s">
        <v>55</v>
      </c>
      <c r="C49" s="338"/>
      <c r="D49" s="390" t="e">
        <f t="shared" si="14"/>
        <v>#DIV/0!</v>
      </c>
      <c r="E49" s="391" t="e">
        <f t="shared" si="15"/>
        <v>#DIV/0!</v>
      </c>
      <c r="F49" s="392" t="e">
        <f t="shared" si="19"/>
        <v>#DIV/0!</v>
      </c>
      <c r="G49" s="399" t="e">
        <f>SUM(X19)*1000/#REF!</f>
        <v>#REF!</v>
      </c>
      <c r="H49" s="400"/>
      <c r="I49" s="441" t="e">
        <f t="shared" si="16"/>
        <v>#DIV/0!</v>
      </c>
      <c r="J49" s="403"/>
      <c r="K49" s="396" t="e">
        <f t="shared" si="20"/>
        <v>#DIV/0!</v>
      </c>
      <c r="L49" s="402"/>
      <c r="M49" s="398" t="e">
        <f t="shared" si="18"/>
        <v>#DIV/0!</v>
      </c>
      <c r="N49" s="272"/>
      <c r="O49" s="387"/>
      <c r="P49" s="272"/>
      <c r="Q49" s="272"/>
      <c r="S49"/>
      <c r="T49" s="433"/>
      <c r="U49" s="434"/>
      <c r="V49" s="434"/>
      <c r="W49" s="435"/>
      <c r="X49" s="434"/>
      <c r="Y49" s="434"/>
    </row>
    <row r="50" spans="1:27" ht="15" customHeight="1" x14ac:dyDescent="0.25">
      <c r="A50" s="247">
        <v>2022</v>
      </c>
      <c r="B50" s="274" t="s">
        <v>54</v>
      </c>
      <c r="C50" s="338"/>
      <c r="D50" s="390" t="e">
        <f t="shared" si="14"/>
        <v>#DIV/0!</v>
      </c>
      <c r="E50" s="391" t="e">
        <f t="shared" si="15"/>
        <v>#DIV/0!</v>
      </c>
      <c r="F50" s="392" t="e">
        <f t="shared" si="19"/>
        <v>#DIV/0!</v>
      </c>
      <c r="G50" s="399" t="e">
        <f>SUM(X20)*1000/#REF!</f>
        <v>#REF!</v>
      </c>
      <c r="H50" s="400"/>
      <c r="I50" s="441" t="e">
        <f t="shared" si="16"/>
        <v>#DIV/0!</v>
      </c>
      <c r="J50" s="403"/>
      <c r="K50" s="396" t="e">
        <f t="shared" si="20"/>
        <v>#DIV/0!</v>
      </c>
      <c r="L50" s="402"/>
      <c r="M50" s="398" t="e">
        <f t="shared" si="18"/>
        <v>#DIV/0!</v>
      </c>
      <c r="N50" s="272"/>
      <c r="O50" s="387"/>
      <c r="P50" s="272"/>
      <c r="Q50" s="272"/>
      <c r="S50"/>
      <c r="T50" s="433"/>
      <c r="U50" s="434"/>
      <c r="V50" s="434"/>
      <c r="W50" s="435"/>
      <c r="X50" s="434"/>
      <c r="Y50" s="434"/>
    </row>
    <row r="51" spans="1:27" ht="15" customHeight="1" x14ac:dyDescent="0.25">
      <c r="A51" s="247">
        <v>2022</v>
      </c>
      <c r="B51" s="274" t="s">
        <v>53</v>
      </c>
      <c r="C51" s="338"/>
      <c r="D51" s="390" t="e">
        <f t="shared" si="14"/>
        <v>#DIV/0!</v>
      </c>
      <c r="E51" s="391" t="e">
        <f t="shared" si="15"/>
        <v>#DIV/0!</v>
      </c>
      <c r="F51" s="392" t="e">
        <f t="shared" si="19"/>
        <v>#DIV/0!</v>
      </c>
      <c r="G51" s="399" t="e">
        <f>SUM(X21)*1000/#REF!</f>
        <v>#REF!</v>
      </c>
      <c r="H51" s="400"/>
      <c r="I51" s="441" t="e">
        <f t="shared" si="16"/>
        <v>#DIV/0!</v>
      </c>
      <c r="J51" s="403"/>
      <c r="K51" s="396" t="e">
        <f t="shared" si="20"/>
        <v>#DIV/0!</v>
      </c>
      <c r="L51" s="402"/>
      <c r="M51" s="398" t="e">
        <f t="shared" si="18"/>
        <v>#DIV/0!</v>
      </c>
      <c r="N51" s="272"/>
      <c r="O51" s="387"/>
      <c r="P51" s="272"/>
      <c r="Q51" s="272"/>
      <c r="S51"/>
      <c r="T51" s="433"/>
      <c r="U51" s="434"/>
      <c r="V51" s="434"/>
      <c r="W51" s="435"/>
      <c r="X51" s="434"/>
      <c r="Y51" s="434"/>
    </row>
    <row r="52" spans="1:27" ht="15" customHeight="1" x14ac:dyDescent="0.25">
      <c r="A52" s="247">
        <v>2022</v>
      </c>
      <c r="B52" s="248" t="s">
        <v>52</v>
      </c>
      <c r="C52" s="338"/>
      <c r="D52" s="390" t="e">
        <f t="shared" si="14"/>
        <v>#DIV/0!</v>
      </c>
      <c r="E52" s="391" t="e">
        <f t="shared" si="15"/>
        <v>#DIV/0!</v>
      </c>
      <c r="F52" s="392" t="e">
        <f t="shared" si="19"/>
        <v>#DIV/0!</v>
      </c>
      <c r="G52" s="399" t="e">
        <f>SUM(X22)*1000/#REF!</f>
        <v>#REF!</v>
      </c>
      <c r="H52" s="400"/>
      <c r="I52" s="441" t="e">
        <f t="shared" si="16"/>
        <v>#DIV/0!</v>
      </c>
      <c r="J52" s="403"/>
      <c r="K52" s="396" t="e">
        <f t="shared" si="20"/>
        <v>#DIV/0!</v>
      </c>
      <c r="L52" s="402"/>
      <c r="M52" s="398" t="e">
        <f t="shared" si="18"/>
        <v>#DIV/0!</v>
      </c>
      <c r="N52" s="272"/>
      <c r="O52" s="387"/>
      <c r="P52" s="272"/>
      <c r="Q52" s="272"/>
      <c r="S52"/>
      <c r="T52" s="433"/>
      <c r="U52" s="434"/>
      <c r="V52" s="434"/>
      <c r="W52" s="435"/>
      <c r="X52" s="434"/>
      <c r="Y52" s="434"/>
    </row>
    <row r="53" spans="1:27" ht="15" customHeight="1" x14ac:dyDescent="0.25">
      <c r="A53" s="247">
        <v>2022</v>
      </c>
      <c r="B53" s="274" t="s">
        <v>51</v>
      </c>
      <c r="C53" s="338"/>
      <c r="D53" s="390" t="e">
        <f t="shared" si="14"/>
        <v>#DIV/0!</v>
      </c>
      <c r="E53" s="391" t="e">
        <f t="shared" si="15"/>
        <v>#DIV/0!</v>
      </c>
      <c r="F53" s="392" t="e">
        <f t="shared" si="19"/>
        <v>#DIV/0!</v>
      </c>
      <c r="G53" s="399" t="e">
        <f>SUM(X23)*1000/#REF!</f>
        <v>#REF!</v>
      </c>
      <c r="H53" s="400"/>
      <c r="I53" s="441" t="e">
        <f t="shared" si="16"/>
        <v>#DIV/0!</v>
      </c>
      <c r="J53" s="403"/>
      <c r="K53" s="396" t="e">
        <f t="shared" si="20"/>
        <v>#DIV/0!</v>
      </c>
      <c r="L53" s="402"/>
      <c r="M53" s="398" t="e">
        <f t="shared" si="18"/>
        <v>#DIV/0!</v>
      </c>
      <c r="N53" s="272"/>
      <c r="O53" s="387"/>
      <c r="P53" s="272"/>
      <c r="Q53" s="272"/>
      <c r="S53"/>
      <c r="T53" s="433"/>
      <c r="U53" s="434"/>
      <c r="V53" s="434"/>
      <c r="W53" s="435"/>
      <c r="X53" s="434"/>
      <c r="Y53" s="434"/>
    </row>
    <row r="54" spans="1:27" ht="23.25" customHeight="1" x14ac:dyDescent="0.25">
      <c r="A54" s="247">
        <v>2022</v>
      </c>
      <c r="B54" s="404" t="s">
        <v>50</v>
      </c>
      <c r="C54" s="338"/>
      <c r="D54" s="390" t="e">
        <f t="shared" si="14"/>
        <v>#DIV/0!</v>
      </c>
      <c r="E54" s="391" t="e">
        <f t="shared" si="15"/>
        <v>#DIV/0!</v>
      </c>
      <c r="F54" s="392" t="e">
        <f t="shared" si="19"/>
        <v>#DIV/0!</v>
      </c>
      <c r="G54" s="399" t="e">
        <f>SUM(X24)*1000/#REF!</f>
        <v>#REF!</v>
      </c>
      <c r="H54" s="400"/>
      <c r="I54" s="441" t="e">
        <f t="shared" si="16"/>
        <v>#DIV/0!</v>
      </c>
      <c r="J54" s="403"/>
      <c r="K54" s="396" t="e">
        <f t="shared" si="20"/>
        <v>#DIV/0!</v>
      </c>
      <c r="L54" s="402"/>
      <c r="M54" s="398" t="e">
        <f t="shared" si="18"/>
        <v>#DIV/0!</v>
      </c>
      <c r="N54" s="272"/>
      <c r="O54" s="387"/>
      <c r="P54" s="272"/>
      <c r="Q54" s="272"/>
      <c r="S54"/>
      <c r="T54" s="433"/>
      <c r="U54" s="434"/>
      <c r="V54" s="434"/>
      <c r="W54" s="435"/>
      <c r="X54" s="434"/>
      <c r="Y54" s="434"/>
    </row>
    <row r="55" spans="1:27" ht="23.25" customHeight="1" x14ac:dyDescent="0.25">
      <c r="A55" s="247">
        <v>2022</v>
      </c>
      <c r="B55" s="404" t="s">
        <v>49</v>
      </c>
      <c r="C55" s="338"/>
      <c r="D55" s="390" t="e">
        <f t="shared" si="14"/>
        <v>#DIV/0!</v>
      </c>
      <c r="E55" s="391" t="e">
        <f t="shared" si="15"/>
        <v>#DIV/0!</v>
      </c>
      <c r="F55" s="392" t="e">
        <f t="shared" si="19"/>
        <v>#DIV/0!</v>
      </c>
      <c r="G55" s="399" t="e">
        <f>SUM(X25)*1000/#REF!</f>
        <v>#REF!</v>
      </c>
      <c r="H55" s="400"/>
      <c r="I55" s="441" t="e">
        <f t="shared" si="16"/>
        <v>#DIV/0!</v>
      </c>
      <c r="J55" s="403"/>
      <c r="K55" s="396" t="e">
        <f t="shared" si="20"/>
        <v>#DIV/0!</v>
      </c>
      <c r="L55" s="402"/>
      <c r="M55" s="398" t="e">
        <f t="shared" si="18"/>
        <v>#DIV/0!</v>
      </c>
      <c r="N55" s="272"/>
      <c r="O55" s="387"/>
      <c r="P55" s="272"/>
      <c r="Q55" s="272"/>
      <c r="S55"/>
      <c r="T55" s="433"/>
      <c r="U55" s="434"/>
      <c r="V55" s="434"/>
      <c r="W55" s="435"/>
      <c r="X55" s="434"/>
      <c r="Y55" s="434"/>
      <c r="AA55" s="272"/>
    </row>
    <row r="56" spans="1:27" ht="45.75" customHeight="1" thickBot="1" x14ac:dyDescent="0.3">
      <c r="A56" s="338"/>
      <c r="B56" s="338"/>
      <c r="C56" s="338"/>
      <c r="D56" s="405" t="s">
        <v>178</v>
      </c>
      <c r="E56" s="406" t="s">
        <v>179</v>
      </c>
      <c r="F56" s="407"/>
      <c r="G56" s="399" t="e">
        <f>SUM(X26)*1000/#REF!</f>
        <v>#REF!</v>
      </c>
      <c r="H56" s="408" t="s">
        <v>181</v>
      </c>
      <c r="I56" s="442" t="s">
        <v>183</v>
      </c>
      <c r="J56" s="395"/>
      <c r="K56" s="396" t="e">
        <f>SUM(J56)*1000000/E25</f>
        <v>#DIV/0!</v>
      </c>
      <c r="L56" s="397" t="s">
        <v>149</v>
      </c>
      <c r="M56" s="409" t="s">
        <v>182</v>
      </c>
      <c r="N56" s="272"/>
      <c r="O56" s="387"/>
      <c r="P56" s="272"/>
      <c r="Q56" s="272"/>
      <c r="S56"/>
      <c r="T56" s="432"/>
      <c r="U56" s="432"/>
      <c r="V56" s="432"/>
      <c r="W56" s="432"/>
      <c r="X56" s="432"/>
      <c r="Y56" s="432"/>
    </row>
    <row r="57" spans="1:27" ht="19.5" customHeight="1" thickBot="1" x14ac:dyDescent="0.3">
      <c r="A57" s="410" t="s">
        <v>184</v>
      </c>
      <c r="B57" s="411"/>
      <c r="C57" s="411"/>
      <c r="D57" s="412" t="e">
        <f>SUM(I14:I25)*1000/#REF!</f>
        <v>#REF!</v>
      </c>
      <c r="E57" s="413" t="e">
        <f>SUM(U14:U25)*1000/#REF!</f>
        <v>#REF!</v>
      </c>
      <c r="F57" s="414" t="e">
        <f>#REF!*1000/#REF!</f>
        <v>#REF!</v>
      </c>
      <c r="G57" s="415" t="e">
        <f>SUM(X14)*1000/#REF!</f>
        <v>#REF!</v>
      </c>
      <c r="H57" s="362">
        <f>SUM(H44:H55)</f>
        <v>0</v>
      </c>
      <c r="I57" s="443" t="e">
        <f>SUM(H44:H55)*1000000/#REF!</f>
        <v>#REF!</v>
      </c>
      <c r="J57" s="416">
        <f>SUM(J44:J55)</f>
        <v>2</v>
      </c>
      <c r="K57" s="364" t="e">
        <f>SUM(J44:J55)*1000000/#REF!</f>
        <v>#REF!</v>
      </c>
      <c r="L57" s="417">
        <f>SUM(L44:L55)</f>
        <v>0</v>
      </c>
      <c r="M57" s="418" t="e">
        <f>SUM(L44:L55)*1000000/#REF!</f>
        <v>#REF!</v>
      </c>
      <c r="N57" s="272"/>
      <c r="P57" s="272"/>
      <c r="Q57" s="272"/>
      <c r="S57"/>
      <c r="T57" s="436"/>
      <c r="U57" s="437"/>
      <c r="V57" s="437"/>
      <c r="W57" s="438"/>
      <c r="X57" s="439"/>
      <c r="Y57" s="439"/>
    </row>
    <row r="58" spans="1:27" ht="15" customHeight="1" thickBot="1" x14ac:dyDescent="0.3">
      <c r="D58" s="419" t="e">
        <f>SUM(I14:I25)*200000/#REF!</f>
        <v>#REF!</v>
      </c>
      <c r="E58" s="420" t="e">
        <f>SUM(U14:U25)*200000/#REF!</f>
        <v>#REF!</v>
      </c>
      <c r="F58" s="421" t="e">
        <f>SUM(#REF!)*200000/#REF!</f>
        <v>#REF!</v>
      </c>
      <c r="G58" s="422" t="e">
        <f>SUM(X14)*200000/#REF!</f>
        <v>#REF!</v>
      </c>
      <c r="H58" s="367"/>
      <c r="I58" s="444" t="e">
        <f>SUM(H44:H55)*200000/#REF!</f>
        <v>#REF!</v>
      </c>
      <c r="J58" s="423"/>
      <c r="K58" s="424" t="e">
        <f>SUM(J44:J55)*200000/#REF!</f>
        <v>#REF!</v>
      </c>
      <c r="L58" s="425"/>
      <c r="M58" s="426"/>
      <c r="N58" s="272"/>
      <c r="O58"/>
      <c r="P58" s="272"/>
      <c r="Q58" s="272"/>
      <c r="S58"/>
      <c r="T58" s="439"/>
      <c r="U58" s="437"/>
      <c r="V58" s="437"/>
    </row>
    <row r="59" spans="1:27" ht="15" customHeight="1" x14ac:dyDescent="0.25">
      <c r="A59" s="427"/>
      <c r="B59" s="428"/>
      <c r="E59" s="429"/>
      <c r="L59" s="243"/>
      <c r="M59" s="243" t="s">
        <v>185</v>
      </c>
      <c r="P59" s="243"/>
    </row>
    <row r="60" spans="1:27" ht="15" customHeight="1" x14ac:dyDescent="0.25">
      <c r="A60" s="430"/>
      <c r="L60" s="289"/>
      <c r="M60" s="289"/>
    </row>
    <row r="61" spans="1:27" ht="15" customHeight="1" x14ac:dyDescent="0.25">
      <c r="L61" s="431"/>
      <c r="M61" s="431"/>
      <c r="P61" s="431"/>
    </row>
    <row r="62" spans="1:27" ht="15" customHeight="1" x14ac:dyDescent="0.25"/>
  </sheetData>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E6476-D1B8-476D-85B3-1FF111DE7A2D}">
  <dimension ref="A1"/>
  <sheetViews>
    <sheetView topLeftCell="A4" workbookViewId="0"/>
  </sheetViews>
  <sheetFormatPr defaultRowHeight="15" x14ac:dyDescent="0.2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5725B-6225-40FA-90AE-6AB5566CD04C}">
  <sheetPr codeName="Sheet31">
    <pageSetUpPr fitToPage="1"/>
  </sheetPr>
  <dimension ref="A1:AO91"/>
  <sheetViews>
    <sheetView zoomScale="70" zoomScaleNormal="70" workbookViewId="0">
      <selection activeCell="P12" sqref="P12"/>
    </sheetView>
  </sheetViews>
  <sheetFormatPr defaultColWidth="9.140625" defaultRowHeight="12.75" x14ac:dyDescent="0.2"/>
  <cols>
    <col min="1" max="16384" width="9.140625" style="200"/>
  </cols>
  <sheetData>
    <row r="1" spans="1:41" ht="30" customHeight="1" x14ac:dyDescent="0.2">
      <c r="A1" s="979" t="s">
        <v>312</v>
      </c>
      <c r="B1" s="980"/>
      <c r="C1" s="980"/>
      <c r="D1" s="980"/>
      <c r="E1" s="980"/>
      <c r="F1" s="980"/>
      <c r="G1" s="980"/>
      <c r="H1" s="980"/>
      <c r="I1" s="980"/>
      <c r="J1" s="980"/>
      <c r="K1" s="980"/>
      <c r="L1" s="980"/>
      <c r="M1" s="980"/>
      <c r="N1" s="980"/>
      <c r="O1" s="980"/>
      <c r="P1" s="980"/>
      <c r="Q1" s="980"/>
      <c r="R1" s="980"/>
      <c r="S1" s="980"/>
      <c r="T1" s="980"/>
      <c r="U1" s="980"/>
      <c r="V1" s="980"/>
      <c r="W1" s="980"/>
      <c r="X1" s="980"/>
      <c r="Y1" s="980"/>
      <c r="Z1" s="980"/>
      <c r="AA1" s="980"/>
      <c r="AB1" s="980"/>
      <c r="AC1" s="980"/>
      <c r="AD1" s="980"/>
      <c r="AE1" s="980"/>
      <c r="AF1" s="980"/>
      <c r="AG1" s="980"/>
      <c r="AH1" s="980"/>
      <c r="AI1" s="980"/>
      <c r="AJ1" s="980"/>
      <c r="AK1" s="980"/>
      <c r="AL1" s="980"/>
      <c r="AM1" s="216"/>
      <c r="AN1" s="216"/>
      <c r="AO1" s="215"/>
    </row>
    <row r="2" spans="1:41" ht="12.75" customHeight="1" x14ac:dyDescent="0.2">
      <c r="A2" s="981"/>
      <c r="B2" s="982"/>
      <c r="C2" s="982"/>
      <c r="D2" s="982"/>
      <c r="E2" s="982"/>
      <c r="F2" s="982"/>
      <c r="G2" s="982"/>
      <c r="H2" s="982"/>
      <c r="I2" s="982"/>
      <c r="J2" s="982"/>
      <c r="K2" s="982"/>
      <c r="L2" s="982"/>
      <c r="M2" s="982"/>
      <c r="N2" s="982"/>
      <c r="O2" s="982"/>
      <c r="P2" s="982"/>
      <c r="Q2" s="982"/>
      <c r="R2" s="982"/>
      <c r="S2" s="982"/>
      <c r="T2" s="982"/>
      <c r="U2" s="982"/>
      <c r="V2" s="982"/>
      <c r="W2" s="982"/>
      <c r="X2" s="982"/>
      <c r="Y2" s="982"/>
      <c r="Z2" s="982"/>
      <c r="AA2" s="982"/>
      <c r="AB2" s="982"/>
      <c r="AC2" s="982"/>
      <c r="AD2" s="982"/>
      <c r="AE2" s="982"/>
      <c r="AF2" s="982"/>
      <c r="AG2" s="982"/>
      <c r="AH2" s="982"/>
      <c r="AI2" s="982"/>
      <c r="AJ2" s="982"/>
      <c r="AK2" s="982"/>
      <c r="AL2" s="982"/>
      <c r="AM2" s="214"/>
      <c r="AN2" s="214"/>
      <c r="AO2" s="213"/>
    </row>
    <row r="3" spans="1:41" ht="13.5" thickBot="1" x14ac:dyDescent="0.25">
      <c r="A3" s="212"/>
      <c r="B3" s="211"/>
      <c r="C3" s="211"/>
      <c r="D3" s="211"/>
      <c r="E3" s="211"/>
      <c r="F3" s="211"/>
      <c r="G3" s="211"/>
      <c r="H3" s="211"/>
      <c r="I3" s="211"/>
      <c r="J3" s="211"/>
      <c r="K3" s="211"/>
      <c r="L3" s="211"/>
      <c r="M3" s="211"/>
      <c r="N3" s="211"/>
      <c r="O3" s="211"/>
      <c r="P3" s="211"/>
      <c r="Q3" s="211"/>
      <c r="R3" s="211"/>
      <c r="S3" s="211"/>
      <c r="T3" s="211"/>
      <c r="U3" s="211"/>
      <c r="V3" s="211"/>
      <c r="W3" s="211"/>
      <c r="X3" s="211"/>
      <c r="Y3" s="211"/>
      <c r="Z3" s="211"/>
      <c r="AA3" s="211"/>
      <c r="AB3" s="211"/>
      <c r="AC3" s="211"/>
      <c r="AD3" s="211"/>
      <c r="AE3" s="211"/>
      <c r="AF3" s="211"/>
      <c r="AG3" s="211"/>
      <c r="AH3" s="211"/>
      <c r="AI3" s="211"/>
      <c r="AJ3" s="211"/>
      <c r="AK3" s="211"/>
      <c r="AL3" s="211"/>
      <c r="AM3" s="210"/>
      <c r="AN3" s="210"/>
      <c r="AO3" s="209"/>
    </row>
    <row r="4" spans="1:41" x14ac:dyDescent="0.2">
      <c r="A4" s="208"/>
      <c r="B4" s="207"/>
      <c r="C4" s="207"/>
      <c r="D4" s="207"/>
      <c r="E4" s="207"/>
      <c r="F4" s="207"/>
      <c r="G4" s="207"/>
      <c r="H4" s="207"/>
      <c r="I4" s="207"/>
      <c r="J4" s="207"/>
      <c r="K4" s="207"/>
      <c r="L4" s="207"/>
      <c r="M4" s="207"/>
      <c r="N4" s="207"/>
      <c r="O4" s="206"/>
      <c r="P4" s="208"/>
      <c r="Q4" s="207"/>
      <c r="R4" s="207"/>
      <c r="S4" s="207"/>
      <c r="T4" s="207"/>
      <c r="U4" s="207"/>
      <c r="V4" s="207"/>
      <c r="W4" s="207"/>
      <c r="X4" s="207"/>
      <c r="Y4" s="207"/>
      <c r="Z4" s="207"/>
      <c r="AA4" s="207"/>
      <c r="AB4" s="207"/>
      <c r="AC4" s="207"/>
      <c r="AD4" s="207"/>
      <c r="AE4" s="206"/>
      <c r="AF4" s="208"/>
      <c r="AG4" s="207"/>
      <c r="AH4" s="207"/>
      <c r="AI4" s="207"/>
      <c r="AJ4" s="207"/>
      <c r="AK4" s="207"/>
      <c r="AL4" s="207"/>
      <c r="AM4" s="207"/>
      <c r="AN4" s="207"/>
      <c r="AO4" s="206"/>
    </row>
    <row r="5" spans="1:41" x14ac:dyDescent="0.2">
      <c r="A5" s="205"/>
      <c r="O5" s="204"/>
      <c r="P5" s="205"/>
      <c r="AE5" s="204"/>
      <c r="AF5" s="205"/>
      <c r="AO5" s="204"/>
    </row>
    <row r="6" spans="1:41" x14ac:dyDescent="0.2">
      <c r="A6" s="205"/>
      <c r="O6" s="204"/>
      <c r="P6" s="205"/>
      <c r="AE6" s="204"/>
      <c r="AF6" s="205"/>
      <c r="AO6" s="204"/>
    </row>
    <row r="7" spans="1:41" x14ac:dyDescent="0.2">
      <c r="A7" s="205"/>
      <c r="O7" s="204"/>
      <c r="P7" s="205"/>
      <c r="AE7" s="204"/>
      <c r="AF7" s="205"/>
      <c r="AO7" s="204"/>
    </row>
    <row r="8" spans="1:41" x14ac:dyDescent="0.2">
      <c r="A8" s="205"/>
      <c r="O8" s="204"/>
      <c r="P8" s="205"/>
      <c r="AE8" s="204"/>
      <c r="AF8" s="205"/>
      <c r="AO8" s="204"/>
    </row>
    <row r="9" spans="1:41" x14ac:dyDescent="0.2">
      <c r="A9" s="205"/>
      <c r="O9" s="204"/>
      <c r="P9" s="205"/>
      <c r="AE9" s="204"/>
      <c r="AF9" s="205"/>
      <c r="AO9" s="204"/>
    </row>
    <row r="10" spans="1:41" x14ac:dyDescent="0.2">
      <c r="A10" s="205"/>
      <c r="O10" s="204"/>
      <c r="P10" s="205"/>
      <c r="AE10" s="204"/>
      <c r="AF10" s="205"/>
      <c r="AO10" s="204"/>
    </row>
    <row r="11" spans="1:41" x14ac:dyDescent="0.2">
      <c r="A11" s="205"/>
      <c r="O11" s="204"/>
      <c r="P11" s="205"/>
      <c r="AE11" s="204"/>
      <c r="AF11" s="205"/>
      <c r="AO11" s="204"/>
    </row>
    <row r="12" spans="1:41" x14ac:dyDescent="0.2">
      <c r="A12" s="205"/>
      <c r="O12" s="204"/>
      <c r="P12" s="205"/>
      <c r="AE12" s="204"/>
      <c r="AF12" s="205"/>
      <c r="AO12" s="204"/>
    </row>
    <row r="13" spans="1:41" x14ac:dyDescent="0.2">
      <c r="A13" s="205"/>
      <c r="O13" s="204"/>
      <c r="P13" s="205"/>
      <c r="AE13" s="204"/>
      <c r="AF13" s="205"/>
      <c r="AO13" s="204"/>
    </row>
    <row r="14" spans="1:41" x14ac:dyDescent="0.2">
      <c r="A14" s="205"/>
      <c r="O14" s="204"/>
      <c r="P14" s="205"/>
      <c r="AE14" s="204"/>
      <c r="AF14" s="205"/>
      <c r="AO14" s="204"/>
    </row>
    <row r="15" spans="1:41" x14ac:dyDescent="0.2">
      <c r="A15" s="205"/>
      <c r="O15" s="204"/>
      <c r="P15" s="205"/>
      <c r="AE15" s="204"/>
      <c r="AF15" s="205"/>
      <c r="AO15" s="204"/>
    </row>
    <row r="16" spans="1:41" x14ac:dyDescent="0.2">
      <c r="A16" s="205"/>
      <c r="O16" s="204"/>
      <c r="P16" s="205"/>
      <c r="AE16" s="204"/>
      <c r="AF16" s="205"/>
      <c r="AO16" s="204"/>
    </row>
    <row r="17" spans="1:41" x14ac:dyDescent="0.2">
      <c r="A17" s="205"/>
      <c r="O17" s="204"/>
      <c r="P17" s="205"/>
      <c r="AE17" s="204"/>
      <c r="AF17" s="205"/>
      <c r="AO17" s="204"/>
    </row>
    <row r="18" spans="1:41" x14ac:dyDescent="0.2">
      <c r="A18" s="205"/>
      <c r="O18" s="204"/>
      <c r="P18" s="205"/>
      <c r="AE18" s="204"/>
      <c r="AF18" s="205"/>
      <c r="AO18" s="204"/>
    </row>
    <row r="19" spans="1:41" x14ac:dyDescent="0.2">
      <c r="A19" s="205"/>
      <c r="O19" s="204"/>
      <c r="P19" s="205"/>
      <c r="AE19" s="204"/>
      <c r="AF19" s="205"/>
      <c r="AO19" s="204"/>
    </row>
    <row r="20" spans="1:41" x14ac:dyDescent="0.2">
      <c r="A20" s="205"/>
      <c r="O20" s="204"/>
      <c r="P20" s="205"/>
      <c r="AE20" s="204"/>
      <c r="AF20" s="205"/>
      <c r="AO20" s="204"/>
    </row>
    <row r="21" spans="1:41" x14ac:dyDescent="0.2">
      <c r="A21" s="205"/>
      <c r="O21" s="204"/>
      <c r="P21" s="205"/>
      <c r="AE21" s="204"/>
      <c r="AF21" s="205"/>
      <c r="AO21" s="204"/>
    </row>
    <row r="22" spans="1:41" ht="13.5" thickBot="1" x14ac:dyDescent="0.25">
      <c r="A22" s="203"/>
      <c r="B22" s="202"/>
      <c r="C22" s="202"/>
      <c r="D22" s="202"/>
      <c r="E22" s="202"/>
      <c r="F22" s="202"/>
      <c r="G22" s="202"/>
      <c r="H22" s="202"/>
      <c r="I22" s="202"/>
      <c r="J22" s="202"/>
      <c r="O22" s="204"/>
      <c r="P22" s="205"/>
      <c r="AE22" s="204"/>
      <c r="AF22" s="205"/>
      <c r="AO22" s="204"/>
    </row>
    <row r="23" spans="1:41" x14ac:dyDescent="0.2">
      <c r="A23" s="208"/>
      <c r="B23" s="207"/>
      <c r="C23" s="207"/>
      <c r="D23" s="207"/>
      <c r="E23" s="207"/>
      <c r="F23" s="207"/>
      <c r="G23" s="207"/>
      <c r="H23" s="207"/>
      <c r="I23" s="207"/>
      <c r="J23" s="207"/>
      <c r="K23" s="208"/>
      <c r="L23" s="207"/>
      <c r="M23" s="207"/>
      <c r="N23" s="207"/>
      <c r="O23" s="207"/>
      <c r="P23" s="207"/>
      <c r="Q23" s="207"/>
      <c r="R23" s="207"/>
      <c r="S23" s="207"/>
      <c r="T23" s="207"/>
      <c r="U23" s="207"/>
      <c r="V23" s="207"/>
      <c r="W23" s="207"/>
      <c r="X23" s="207"/>
      <c r="Y23" s="207"/>
      <c r="Z23" s="207"/>
      <c r="AA23" s="207"/>
      <c r="AB23" s="207"/>
      <c r="AC23" s="207"/>
      <c r="AD23" s="207"/>
      <c r="AE23" s="207"/>
      <c r="AF23" s="207"/>
      <c r="AG23" s="207"/>
      <c r="AH23" s="207"/>
      <c r="AI23" s="207"/>
      <c r="AJ23" s="207"/>
      <c r="AK23" s="207"/>
      <c r="AL23" s="207"/>
      <c r="AM23" s="207"/>
      <c r="AN23" s="207"/>
      <c r="AO23" s="206"/>
    </row>
    <row r="24" spans="1:41" x14ac:dyDescent="0.2">
      <c r="A24" s="205"/>
      <c r="K24" s="205"/>
      <c r="AO24" s="204"/>
    </row>
    <row r="25" spans="1:41" x14ac:dyDescent="0.2">
      <c r="A25" s="205"/>
      <c r="K25" s="205"/>
      <c r="AO25" s="204"/>
    </row>
    <row r="26" spans="1:41" x14ac:dyDescent="0.2">
      <c r="A26" s="205"/>
      <c r="K26" s="205"/>
      <c r="AO26" s="204"/>
    </row>
    <row r="27" spans="1:41" x14ac:dyDescent="0.2">
      <c r="A27" s="205"/>
      <c r="K27" s="205"/>
      <c r="AO27" s="204"/>
    </row>
    <row r="28" spans="1:41" x14ac:dyDescent="0.2">
      <c r="A28" s="205"/>
      <c r="K28" s="205"/>
      <c r="AO28" s="204"/>
    </row>
    <row r="29" spans="1:41" x14ac:dyDescent="0.2">
      <c r="A29" s="205"/>
      <c r="K29" s="205"/>
      <c r="AO29" s="204"/>
    </row>
    <row r="30" spans="1:41" x14ac:dyDescent="0.2">
      <c r="A30" s="205"/>
      <c r="K30" s="205"/>
      <c r="AO30" s="204"/>
    </row>
    <row r="31" spans="1:41" x14ac:dyDescent="0.2">
      <c r="A31" s="205"/>
      <c r="K31" s="205"/>
      <c r="AO31" s="204"/>
    </row>
    <row r="32" spans="1:41" x14ac:dyDescent="0.2">
      <c r="A32" s="205"/>
      <c r="K32" s="205"/>
      <c r="AO32" s="204"/>
    </row>
    <row r="33" spans="1:41" x14ac:dyDescent="0.2">
      <c r="A33" s="205"/>
      <c r="K33" s="205"/>
      <c r="AO33" s="204"/>
    </row>
    <row r="34" spans="1:41" x14ac:dyDescent="0.2">
      <c r="A34" s="205"/>
      <c r="K34" s="205"/>
      <c r="AO34" s="204"/>
    </row>
    <row r="35" spans="1:41" x14ac:dyDescent="0.2">
      <c r="A35" s="205"/>
      <c r="K35" s="205"/>
      <c r="AO35" s="204"/>
    </row>
    <row r="36" spans="1:41" x14ac:dyDescent="0.2">
      <c r="A36" s="205"/>
      <c r="K36" s="205"/>
      <c r="AO36" s="204"/>
    </row>
    <row r="37" spans="1:41" x14ac:dyDescent="0.2">
      <c r="A37" s="205"/>
      <c r="K37" s="205"/>
      <c r="AO37" s="204"/>
    </row>
    <row r="38" spans="1:41" x14ac:dyDescent="0.2">
      <c r="A38" s="205"/>
      <c r="K38" s="205"/>
      <c r="AO38" s="204"/>
    </row>
    <row r="39" spans="1:41" x14ac:dyDescent="0.2">
      <c r="A39" s="205"/>
      <c r="K39" s="205"/>
      <c r="AO39" s="204"/>
    </row>
    <row r="40" spans="1:41" x14ac:dyDescent="0.2">
      <c r="A40" s="205"/>
      <c r="K40" s="205"/>
      <c r="AO40" s="204"/>
    </row>
    <row r="41" spans="1:41" x14ac:dyDescent="0.2">
      <c r="A41" s="205"/>
      <c r="K41" s="205"/>
      <c r="AO41" s="204"/>
    </row>
    <row r="42" spans="1:41" x14ac:dyDescent="0.2">
      <c r="A42" s="205"/>
      <c r="K42" s="205"/>
      <c r="AO42" s="204"/>
    </row>
    <row r="43" spans="1:41" x14ac:dyDescent="0.2">
      <c r="A43" s="205"/>
      <c r="K43" s="205"/>
      <c r="AO43" s="204"/>
    </row>
    <row r="44" spans="1:41" x14ac:dyDescent="0.2">
      <c r="A44" s="205"/>
      <c r="K44" s="205"/>
      <c r="AO44" s="204"/>
    </row>
    <row r="45" spans="1:41" x14ac:dyDescent="0.2">
      <c r="A45" s="205"/>
      <c r="K45" s="205"/>
      <c r="AO45" s="204"/>
    </row>
    <row r="46" spans="1:41" x14ac:dyDescent="0.2">
      <c r="A46" s="205"/>
      <c r="K46" s="205"/>
      <c r="AO46" s="204"/>
    </row>
    <row r="47" spans="1:41" ht="13.5" thickBot="1" x14ac:dyDescent="0.25">
      <c r="A47" s="203"/>
      <c r="B47" s="202"/>
      <c r="C47" s="202"/>
      <c r="D47" s="202"/>
      <c r="E47" s="202"/>
      <c r="F47" s="202"/>
      <c r="G47" s="202"/>
      <c r="H47" s="202"/>
      <c r="I47" s="202"/>
      <c r="J47" s="202"/>
      <c r="K47" s="203"/>
      <c r="L47" s="202"/>
      <c r="M47" s="202"/>
      <c r="N47" s="202"/>
      <c r="O47" s="202"/>
      <c r="P47" s="202"/>
      <c r="Q47" s="202"/>
      <c r="R47" s="202"/>
      <c r="S47" s="202"/>
      <c r="T47" s="202"/>
      <c r="U47" s="202"/>
      <c r="V47" s="202"/>
      <c r="W47" s="202"/>
      <c r="X47" s="202"/>
      <c r="Y47" s="202"/>
      <c r="Z47" s="202"/>
      <c r="AA47" s="202"/>
      <c r="AB47" s="202"/>
      <c r="AC47" s="202"/>
      <c r="AD47" s="202"/>
      <c r="AE47" s="202"/>
      <c r="AF47" s="202"/>
      <c r="AG47" s="202"/>
      <c r="AH47" s="202"/>
      <c r="AI47" s="202"/>
      <c r="AJ47" s="202"/>
      <c r="AK47" s="202"/>
      <c r="AL47" s="202"/>
      <c r="AM47" s="202"/>
      <c r="AN47" s="202"/>
      <c r="AO47" s="201"/>
    </row>
    <row r="48" spans="1:41" x14ac:dyDescent="0.2">
      <c r="A48" s="208"/>
      <c r="B48" s="207"/>
      <c r="C48" s="207"/>
      <c r="D48" s="207"/>
      <c r="E48" s="207"/>
      <c r="F48" s="207"/>
      <c r="G48" s="207"/>
      <c r="H48" s="207"/>
      <c r="I48" s="207"/>
      <c r="J48" s="207"/>
      <c r="K48" s="207" t="s">
        <v>141</v>
      </c>
      <c r="L48" s="207"/>
      <c r="M48" s="207"/>
      <c r="N48" s="207"/>
      <c r="O48" s="206"/>
      <c r="P48" s="208"/>
      <c r="Q48" s="207"/>
      <c r="R48" s="207"/>
      <c r="S48" s="207"/>
      <c r="T48" s="207"/>
      <c r="U48" s="207"/>
      <c r="V48" s="207"/>
      <c r="W48" s="207"/>
      <c r="X48" s="207"/>
      <c r="Y48" s="207"/>
      <c r="Z48" s="207"/>
      <c r="AA48" s="207"/>
      <c r="AB48" s="207"/>
      <c r="AC48" s="207"/>
      <c r="AD48" s="207"/>
      <c r="AE48" s="206"/>
      <c r="AF48" s="208"/>
      <c r="AG48" s="207"/>
      <c r="AH48" s="207"/>
      <c r="AI48" s="207"/>
      <c r="AJ48" s="207"/>
      <c r="AK48" s="207"/>
      <c r="AL48" s="207"/>
      <c r="AM48" s="207"/>
      <c r="AN48" s="207"/>
      <c r="AO48" s="206"/>
    </row>
    <row r="49" spans="1:41" x14ac:dyDescent="0.2">
      <c r="A49" s="205"/>
      <c r="O49" s="204"/>
      <c r="P49" s="205"/>
      <c r="AE49" s="204"/>
      <c r="AF49" s="205"/>
      <c r="AO49" s="204"/>
    </row>
    <row r="50" spans="1:41" x14ac:dyDescent="0.2">
      <c r="A50" s="205"/>
      <c r="O50" s="204"/>
      <c r="P50" s="205"/>
      <c r="AE50" s="204"/>
      <c r="AF50" s="205"/>
      <c r="AO50" s="204"/>
    </row>
    <row r="51" spans="1:41" x14ac:dyDescent="0.2">
      <c r="A51" s="205"/>
      <c r="O51" s="204"/>
      <c r="P51" s="205"/>
      <c r="AE51" s="204"/>
      <c r="AF51" s="205"/>
      <c r="AO51" s="204"/>
    </row>
    <row r="52" spans="1:41" x14ac:dyDescent="0.2">
      <c r="A52" s="205"/>
      <c r="O52" s="204"/>
      <c r="P52" s="205"/>
      <c r="AE52" s="204"/>
      <c r="AF52" s="205"/>
      <c r="AO52" s="204"/>
    </row>
    <row r="53" spans="1:41" x14ac:dyDescent="0.2">
      <c r="A53" s="205"/>
      <c r="O53" s="204"/>
      <c r="P53" s="205"/>
      <c r="AE53" s="204"/>
      <c r="AF53" s="205"/>
      <c r="AO53" s="204"/>
    </row>
    <row r="54" spans="1:41" x14ac:dyDescent="0.2">
      <c r="A54" s="205"/>
      <c r="O54" s="204"/>
      <c r="P54" s="205"/>
      <c r="AE54" s="204"/>
      <c r="AF54" s="205"/>
      <c r="AO54" s="204"/>
    </row>
    <row r="55" spans="1:41" x14ac:dyDescent="0.2">
      <c r="A55" s="205"/>
      <c r="O55" s="204"/>
      <c r="P55" s="205"/>
      <c r="AE55" s="204"/>
      <c r="AF55" s="205"/>
      <c r="AO55" s="204"/>
    </row>
    <row r="56" spans="1:41" x14ac:dyDescent="0.2">
      <c r="A56" s="205"/>
      <c r="O56" s="204"/>
      <c r="P56" s="205"/>
      <c r="AE56" s="204"/>
      <c r="AF56" s="205"/>
      <c r="AO56" s="204"/>
    </row>
    <row r="57" spans="1:41" x14ac:dyDescent="0.2">
      <c r="A57" s="205"/>
      <c r="O57" s="204"/>
      <c r="P57" s="205"/>
      <c r="AE57" s="204"/>
      <c r="AF57" s="205"/>
      <c r="AO57" s="204"/>
    </row>
    <row r="58" spans="1:41" x14ac:dyDescent="0.2">
      <c r="A58" s="205"/>
      <c r="O58" s="204"/>
      <c r="P58" s="205"/>
      <c r="AE58" s="204"/>
      <c r="AF58" s="205"/>
      <c r="AO58" s="204"/>
    </row>
    <row r="59" spans="1:41" x14ac:dyDescent="0.2">
      <c r="A59" s="205"/>
      <c r="O59" s="204"/>
      <c r="P59" s="205"/>
      <c r="AE59" s="204"/>
      <c r="AF59" s="205"/>
      <c r="AO59" s="204"/>
    </row>
    <row r="60" spans="1:41" x14ac:dyDescent="0.2">
      <c r="A60" s="205"/>
      <c r="O60" s="204"/>
      <c r="P60" s="205"/>
      <c r="AE60" s="204"/>
      <c r="AF60" s="205"/>
      <c r="AO60" s="204"/>
    </row>
    <row r="61" spans="1:41" x14ac:dyDescent="0.2">
      <c r="A61" s="205"/>
      <c r="O61" s="204"/>
      <c r="P61" s="205"/>
      <c r="AE61" s="204"/>
      <c r="AF61" s="205"/>
      <c r="AO61" s="204"/>
    </row>
    <row r="62" spans="1:41" x14ac:dyDescent="0.2">
      <c r="A62" s="205"/>
      <c r="O62" s="204"/>
      <c r="P62" s="205"/>
      <c r="AE62" s="204"/>
      <c r="AF62" s="205"/>
      <c r="AO62" s="204"/>
    </row>
    <row r="63" spans="1:41" x14ac:dyDescent="0.2">
      <c r="A63" s="205"/>
      <c r="O63" s="204"/>
      <c r="P63" s="205"/>
      <c r="AE63" s="204"/>
      <c r="AF63" s="205"/>
      <c r="AO63" s="204"/>
    </row>
    <row r="64" spans="1:41" x14ac:dyDescent="0.2">
      <c r="A64" s="205"/>
      <c r="O64" s="204"/>
      <c r="P64" s="205"/>
      <c r="AE64" s="204"/>
      <c r="AF64" s="205"/>
      <c r="AO64" s="204"/>
    </row>
    <row r="65" spans="1:41" x14ac:dyDescent="0.2">
      <c r="A65" s="205"/>
      <c r="O65" s="204"/>
      <c r="P65" s="205"/>
      <c r="AE65" s="204"/>
      <c r="AF65" s="205"/>
      <c r="AO65" s="204"/>
    </row>
    <row r="66" spans="1:41" x14ac:dyDescent="0.2">
      <c r="A66" s="205"/>
      <c r="O66" s="204"/>
      <c r="P66" s="205"/>
      <c r="AE66" s="204"/>
      <c r="AF66" s="205"/>
      <c r="AO66" s="204"/>
    </row>
    <row r="67" spans="1:41" x14ac:dyDescent="0.2">
      <c r="A67" s="205"/>
      <c r="O67" s="204"/>
      <c r="P67" s="205"/>
      <c r="AE67" s="204"/>
      <c r="AF67" s="205"/>
      <c r="AO67" s="204"/>
    </row>
    <row r="68" spans="1:41" ht="13.5" thickBot="1" x14ac:dyDescent="0.25">
      <c r="A68" s="203"/>
      <c r="B68" s="202"/>
      <c r="C68" s="202"/>
      <c r="D68" s="202"/>
      <c r="E68" s="202"/>
      <c r="F68" s="202"/>
      <c r="G68" s="202"/>
      <c r="H68" s="202"/>
      <c r="I68" s="202"/>
      <c r="J68" s="202"/>
      <c r="K68" s="202"/>
      <c r="L68" s="202"/>
      <c r="M68" s="202"/>
      <c r="N68" s="202"/>
      <c r="O68" s="201"/>
      <c r="P68" s="203"/>
      <c r="Q68" s="202"/>
      <c r="R68" s="202"/>
      <c r="S68" s="202"/>
      <c r="T68" s="202"/>
      <c r="U68" s="202"/>
      <c r="V68" s="202"/>
      <c r="W68" s="202"/>
      <c r="X68" s="202"/>
      <c r="Y68" s="202"/>
      <c r="Z68" s="202"/>
      <c r="AA68" s="202"/>
      <c r="AB68" s="202"/>
      <c r="AC68" s="202"/>
      <c r="AD68" s="202"/>
      <c r="AE68" s="201"/>
      <c r="AF68" s="203"/>
      <c r="AG68" s="202"/>
      <c r="AH68" s="202"/>
      <c r="AI68" s="202"/>
      <c r="AJ68" s="202"/>
      <c r="AK68" s="202"/>
      <c r="AL68" s="202"/>
      <c r="AM68" s="202"/>
      <c r="AN68" s="202"/>
      <c r="AO68" s="201"/>
    </row>
    <row r="69" spans="1:41" x14ac:dyDescent="0.2">
      <c r="A69" s="208"/>
      <c r="B69" s="207"/>
      <c r="C69" s="207"/>
      <c r="D69" s="207"/>
      <c r="E69" s="207"/>
      <c r="F69" s="207"/>
      <c r="G69" s="207"/>
      <c r="H69" s="207"/>
      <c r="I69" s="207"/>
      <c r="J69" s="207"/>
      <c r="K69" s="207"/>
      <c r="L69" s="207"/>
      <c r="M69" s="207"/>
      <c r="N69" s="207"/>
      <c r="O69" s="206"/>
      <c r="P69" s="208"/>
      <c r="Q69" s="207"/>
      <c r="R69" s="207"/>
      <c r="S69" s="207"/>
      <c r="T69" s="207"/>
      <c r="U69" s="207"/>
      <c r="V69" s="207"/>
      <c r="W69" s="207"/>
      <c r="X69" s="207"/>
      <c r="Y69" s="207"/>
      <c r="Z69" s="207"/>
      <c r="AA69" s="207"/>
      <c r="AB69" s="207"/>
      <c r="AC69" s="207"/>
      <c r="AD69" s="207"/>
      <c r="AE69" s="206"/>
      <c r="AF69" s="208"/>
      <c r="AG69" s="207"/>
      <c r="AH69" s="207"/>
      <c r="AI69" s="207"/>
      <c r="AJ69" s="207"/>
      <c r="AK69" s="207"/>
      <c r="AL69" s="207"/>
      <c r="AM69" s="207"/>
      <c r="AN69" s="207"/>
      <c r="AO69" s="206"/>
    </row>
    <row r="70" spans="1:41" x14ac:dyDescent="0.2">
      <c r="A70" s="205"/>
      <c r="O70" s="204"/>
      <c r="P70" s="205"/>
      <c r="AE70" s="204"/>
      <c r="AF70" s="205"/>
      <c r="AO70" s="204"/>
    </row>
    <row r="71" spans="1:41" x14ac:dyDescent="0.2">
      <c r="A71" s="205"/>
      <c r="O71" s="204"/>
      <c r="P71" s="205"/>
      <c r="AE71" s="204"/>
      <c r="AF71" s="205"/>
      <c r="AO71" s="204"/>
    </row>
    <row r="72" spans="1:41" x14ac:dyDescent="0.2">
      <c r="A72" s="205"/>
      <c r="O72" s="204"/>
      <c r="P72" s="205"/>
      <c r="AE72" s="204"/>
      <c r="AF72" s="205"/>
      <c r="AO72" s="204"/>
    </row>
    <row r="73" spans="1:41" x14ac:dyDescent="0.2">
      <c r="A73" s="205"/>
      <c r="O73" s="204"/>
      <c r="P73" s="205"/>
      <c r="AE73" s="204"/>
      <c r="AF73" s="205"/>
      <c r="AO73" s="204"/>
    </row>
    <row r="74" spans="1:41" x14ac:dyDescent="0.2">
      <c r="A74" s="205"/>
      <c r="O74" s="204"/>
      <c r="P74" s="205"/>
      <c r="AE74" s="204"/>
      <c r="AF74" s="205"/>
      <c r="AO74" s="204"/>
    </row>
    <row r="75" spans="1:41" x14ac:dyDescent="0.2">
      <c r="A75" s="205"/>
      <c r="O75" s="204"/>
      <c r="P75" s="205"/>
      <c r="AE75" s="204"/>
      <c r="AF75" s="205"/>
      <c r="AO75" s="204"/>
    </row>
    <row r="76" spans="1:41" x14ac:dyDescent="0.2">
      <c r="A76" s="205"/>
      <c r="O76" s="204"/>
      <c r="P76" s="205"/>
      <c r="AE76" s="204"/>
      <c r="AF76" s="205"/>
      <c r="AO76" s="204"/>
    </row>
    <row r="77" spans="1:41" x14ac:dyDescent="0.2">
      <c r="A77" s="205"/>
      <c r="O77" s="204"/>
      <c r="P77" s="205"/>
      <c r="AE77" s="204"/>
      <c r="AF77" s="205"/>
      <c r="AO77" s="204"/>
    </row>
    <row r="78" spans="1:41" x14ac:dyDescent="0.2">
      <c r="A78" s="205"/>
      <c r="O78" s="204"/>
      <c r="P78" s="205"/>
      <c r="AE78" s="204"/>
      <c r="AF78" s="205"/>
      <c r="AO78" s="204"/>
    </row>
    <row r="79" spans="1:41" x14ac:dyDescent="0.2">
      <c r="A79" s="205"/>
      <c r="O79" s="204"/>
      <c r="P79" s="205"/>
      <c r="AE79" s="204"/>
      <c r="AF79" s="205"/>
      <c r="AO79" s="204"/>
    </row>
    <row r="80" spans="1:41" x14ac:dyDescent="0.2">
      <c r="A80" s="205"/>
      <c r="O80" s="204"/>
      <c r="P80" s="205"/>
      <c r="AE80" s="204"/>
      <c r="AF80" s="205"/>
      <c r="AO80" s="204"/>
    </row>
    <row r="81" spans="1:41" x14ac:dyDescent="0.2">
      <c r="A81" s="205"/>
      <c r="O81" s="204"/>
      <c r="P81" s="205"/>
      <c r="AE81" s="204"/>
      <c r="AF81" s="205"/>
      <c r="AO81" s="204"/>
    </row>
    <row r="82" spans="1:41" x14ac:dyDescent="0.2">
      <c r="A82" s="205"/>
      <c r="O82" s="204"/>
      <c r="P82" s="205"/>
      <c r="AE82" s="204"/>
      <c r="AF82" s="205"/>
      <c r="AO82" s="204"/>
    </row>
    <row r="83" spans="1:41" x14ac:dyDescent="0.2">
      <c r="A83" s="205"/>
      <c r="O83" s="204"/>
      <c r="P83" s="205"/>
      <c r="AE83" s="204"/>
      <c r="AF83" s="205"/>
      <c r="AO83" s="204"/>
    </row>
    <row r="84" spans="1:41" x14ac:dyDescent="0.2">
      <c r="A84" s="205"/>
      <c r="O84" s="204"/>
      <c r="P84" s="205"/>
      <c r="AE84" s="204"/>
      <c r="AF84" s="205"/>
      <c r="AO84" s="204"/>
    </row>
    <row r="85" spans="1:41" x14ac:dyDescent="0.2">
      <c r="A85" s="205"/>
      <c r="O85" s="204"/>
      <c r="P85" s="205"/>
      <c r="AE85" s="204"/>
      <c r="AF85" s="205"/>
      <c r="AO85" s="204"/>
    </row>
    <row r="86" spans="1:41" x14ac:dyDescent="0.2">
      <c r="A86" s="205"/>
      <c r="O86" s="204"/>
      <c r="P86" s="205"/>
      <c r="AE86" s="204"/>
      <c r="AF86" s="205"/>
      <c r="AO86" s="204"/>
    </row>
    <row r="87" spans="1:41" x14ac:dyDescent="0.2">
      <c r="A87" s="205"/>
      <c r="O87" s="204"/>
      <c r="P87" s="205"/>
      <c r="AE87" s="204"/>
      <c r="AF87" s="205"/>
      <c r="AO87" s="204"/>
    </row>
    <row r="88" spans="1:41" x14ac:dyDescent="0.2">
      <c r="A88" s="205"/>
      <c r="O88" s="204"/>
      <c r="P88" s="205"/>
      <c r="AE88" s="204"/>
      <c r="AF88" s="205"/>
      <c r="AO88" s="204"/>
    </row>
    <row r="89" spans="1:41" x14ac:dyDescent="0.2">
      <c r="A89" s="205"/>
      <c r="O89" s="204"/>
      <c r="P89" s="205"/>
      <c r="AE89" s="204"/>
      <c r="AF89" s="205"/>
      <c r="AO89" s="204"/>
    </row>
    <row r="90" spans="1:41" x14ac:dyDescent="0.2">
      <c r="A90" s="205"/>
      <c r="O90" s="204"/>
      <c r="P90" s="205"/>
      <c r="AE90" s="204"/>
      <c r="AF90" s="205"/>
      <c r="AO90" s="204"/>
    </row>
    <row r="91" spans="1:41" ht="13.5" thickBot="1" x14ac:dyDescent="0.25">
      <c r="A91" s="203"/>
      <c r="B91" s="202"/>
      <c r="C91" s="202"/>
      <c r="D91" s="202"/>
      <c r="E91" s="202"/>
      <c r="F91" s="202"/>
      <c r="G91" s="202"/>
      <c r="H91" s="202"/>
      <c r="I91" s="202"/>
      <c r="J91" s="202"/>
      <c r="K91" s="202"/>
      <c r="L91" s="202"/>
      <c r="M91" s="202"/>
      <c r="N91" s="202"/>
      <c r="O91" s="201"/>
      <c r="P91" s="203"/>
      <c r="Q91" s="202"/>
      <c r="R91" s="202"/>
      <c r="S91" s="202"/>
      <c r="T91" s="202"/>
      <c r="U91" s="202"/>
      <c r="V91" s="202"/>
      <c r="W91" s="202"/>
      <c r="X91" s="202"/>
      <c r="Y91" s="202"/>
      <c r="Z91" s="202"/>
      <c r="AA91" s="202"/>
      <c r="AB91" s="202"/>
      <c r="AC91" s="202"/>
      <c r="AD91" s="202"/>
      <c r="AE91" s="201"/>
      <c r="AF91" s="203"/>
      <c r="AG91" s="202"/>
      <c r="AH91" s="202"/>
      <c r="AI91" s="202"/>
      <c r="AJ91" s="202"/>
      <c r="AK91" s="202"/>
      <c r="AL91" s="202"/>
      <c r="AM91" s="202"/>
      <c r="AN91" s="202"/>
      <c r="AO91" s="201"/>
    </row>
  </sheetData>
  <sheetProtection formatCells="0" formatColumns="0" formatRows="0" insertColumns="0" insertRows="0" insertHyperlinks="0" deleteColumns="0" deleteRows="0" sort="0" autoFilter="0" pivotTables="0"/>
  <mergeCells count="1">
    <mergeCell ref="A1:AL2"/>
  </mergeCells>
  <pageMargins left="1" right="0" top="1.2" bottom="0" header="0" footer="0"/>
  <pageSetup paperSize="3" scale="53"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16B5F-025B-4F86-AC57-590D4576E9A3}">
  <sheetPr codeName="Sheet5"/>
  <dimension ref="A1:AP47"/>
  <sheetViews>
    <sheetView topLeftCell="Q113" zoomScaleNormal="100" workbookViewId="0">
      <selection activeCell="AA141" sqref="AA141"/>
    </sheetView>
  </sheetViews>
  <sheetFormatPr defaultColWidth="9.140625" defaultRowHeight="12.75" x14ac:dyDescent="0.2"/>
  <cols>
    <col min="1" max="20" width="9.140625" style="98"/>
    <col min="21" max="21" width="21.140625" style="98" bestFit="1" customWidth="1"/>
    <col min="22" max="16384" width="9.140625" style="98"/>
  </cols>
  <sheetData>
    <row r="1" spans="1:42" ht="23.25" x14ac:dyDescent="0.35">
      <c r="A1" s="132" t="s">
        <v>311</v>
      </c>
    </row>
    <row r="2" spans="1:42" ht="13.5" thickBot="1" x14ac:dyDescent="0.25">
      <c r="AN2" s="767"/>
      <c r="AO2" s="180"/>
    </row>
    <row r="3" spans="1:42" ht="13.5" thickBot="1" x14ac:dyDescent="0.25">
      <c r="B3" s="528" t="s">
        <v>338</v>
      </c>
      <c r="AL3" s="731" t="s">
        <v>345</v>
      </c>
      <c r="AM3" s="732"/>
      <c r="AN3" s="767"/>
      <c r="AO3" s="733" t="s">
        <v>346</v>
      </c>
    </row>
    <row r="4" spans="1:42" ht="13.5" thickBot="1" x14ac:dyDescent="0.25">
      <c r="B4" s="731" t="s">
        <v>345</v>
      </c>
      <c r="C4" s="732"/>
      <c r="D4" s="106"/>
      <c r="E4" s="106"/>
      <c r="F4" s="131" t="s">
        <v>60</v>
      </c>
      <c r="G4" s="130" t="s">
        <v>59</v>
      </c>
      <c r="H4" s="130" t="s">
        <v>58</v>
      </c>
      <c r="I4" s="130" t="s">
        <v>57</v>
      </c>
      <c r="J4" s="130" t="s">
        <v>56</v>
      </c>
      <c r="K4" s="130" t="s">
        <v>55</v>
      </c>
      <c r="L4" s="130" t="s">
        <v>54</v>
      </c>
      <c r="M4" s="130" t="s">
        <v>53</v>
      </c>
      <c r="N4" s="130" t="s">
        <v>52</v>
      </c>
      <c r="O4" s="130" t="s">
        <v>51</v>
      </c>
      <c r="P4" s="130" t="s">
        <v>50</v>
      </c>
      <c r="Q4" s="129" t="s">
        <v>49</v>
      </c>
      <c r="R4" s="105" t="s">
        <v>48</v>
      </c>
      <c r="T4" s="733" t="s">
        <v>346</v>
      </c>
      <c r="U4" s="106"/>
      <c r="V4" s="106"/>
      <c r="W4" s="106"/>
      <c r="X4" s="131" t="s">
        <v>60</v>
      </c>
      <c r="Y4" s="130" t="s">
        <v>59</v>
      </c>
      <c r="Z4" s="130" t="s">
        <v>58</v>
      </c>
      <c r="AA4" s="130" t="s">
        <v>57</v>
      </c>
      <c r="AB4" s="130" t="s">
        <v>56</v>
      </c>
      <c r="AC4" s="130" t="s">
        <v>55</v>
      </c>
      <c r="AD4" s="130" t="s">
        <v>54</v>
      </c>
      <c r="AE4" s="130" t="s">
        <v>53</v>
      </c>
      <c r="AF4" s="130" t="s">
        <v>52</v>
      </c>
      <c r="AG4" s="130" t="s">
        <v>51</v>
      </c>
      <c r="AH4" s="130" t="s">
        <v>50</v>
      </c>
      <c r="AI4" s="129" t="s">
        <v>49</v>
      </c>
      <c r="AJ4" s="105" t="s">
        <v>48</v>
      </c>
      <c r="AL4" s="118" t="s">
        <v>354</v>
      </c>
      <c r="AM4" s="98">
        <v>4</v>
      </c>
      <c r="AN4" s="767"/>
      <c r="AO4" s="118" t="s">
        <v>350</v>
      </c>
      <c r="AP4" s="98">
        <v>6</v>
      </c>
    </row>
    <row r="5" spans="1:42" x14ac:dyDescent="0.2">
      <c r="B5" s="118" t="s">
        <v>347</v>
      </c>
      <c r="C5" s="117"/>
      <c r="D5" s="117"/>
      <c r="E5" s="117"/>
      <c r="F5" s="116"/>
      <c r="G5" s="116"/>
      <c r="H5" s="116">
        <v>1</v>
      </c>
      <c r="I5" s="116"/>
      <c r="J5" s="116"/>
      <c r="K5" s="116"/>
      <c r="L5" s="116"/>
      <c r="M5" s="116"/>
      <c r="N5" s="116"/>
      <c r="O5" s="116"/>
      <c r="P5" s="116"/>
      <c r="Q5" s="116"/>
      <c r="R5" s="115">
        <f>SUM(F5:Q5)</f>
        <v>1</v>
      </c>
      <c r="T5" s="118" t="s">
        <v>347</v>
      </c>
      <c r="U5" s="117"/>
      <c r="V5" s="117"/>
      <c r="W5" s="117"/>
      <c r="X5" s="116">
        <v>3</v>
      </c>
      <c r="Y5" s="116">
        <v>2</v>
      </c>
      <c r="Z5" s="116"/>
      <c r="AA5" s="116">
        <v>4</v>
      </c>
      <c r="AB5" s="116">
        <v>2</v>
      </c>
      <c r="AC5" s="116"/>
      <c r="AD5" s="116"/>
      <c r="AE5" s="116"/>
      <c r="AF5" s="116"/>
      <c r="AG5" s="116"/>
      <c r="AH5" s="116"/>
      <c r="AI5" s="116"/>
      <c r="AJ5" s="115">
        <f>SUM(X5:AI5)</f>
        <v>11</v>
      </c>
      <c r="AL5" s="118" t="s">
        <v>350</v>
      </c>
      <c r="AM5" s="98">
        <v>2</v>
      </c>
      <c r="AN5" s="767"/>
      <c r="AO5" s="118" t="s">
        <v>384</v>
      </c>
      <c r="AP5" s="98">
        <v>6</v>
      </c>
    </row>
    <row r="6" spans="1:42" x14ac:dyDescent="0.2">
      <c r="B6" s="121" t="s">
        <v>348</v>
      </c>
      <c r="F6" s="478"/>
      <c r="G6" s="478"/>
      <c r="H6" s="478"/>
      <c r="I6" s="478"/>
      <c r="J6" s="120"/>
      <c r="K6" s="120"/>
      <c r="L6" s="120"/>
      <c r="M6" s="120"/>
      <c r="N6" s="120"/>
      <c r="O6" s="120"/>
      <c r="P6" s="120"/>
      <c r="Q6" s="120"/>
      <c r="R6" s="115">
        <f t="shared" ref="R6:R33" si="0">SUM(F6:Q6)</f>
        <v>0</v>
      </c>
      <c r="T6" s="121" t="s">
        <v>348</v>
      </c>
      <c r="X6" s="478"/>
      <c r="Y6" s="478"/>
      <c r="Z6" s="478">
        <v>1</v>
      </c>
      <c r="AA6" s="478">
        <v>1</v>
      </c>
      <c r="AB6" s="120"/>
      <c r="AC6" s="120"/>
      <c r="AD6" s="120"/>
      <c r="AE6" s="120"/>
      <c r="AF6" s="120"/>
      <c r="AG6" s="120"/>
      <c r="AH6" s="120"/>
      <c r="AI6" s="120"/>
      <c r="AJ6" s="115">
        <f t="shared" ref="AJ6:AJ33" si="1">SUM(X6:AI6)</f>
        <v>2</v>
      </c>
      <c r="AL6" s="118" t="s">
        <v>356</v>
      </c>
      <c r="AM6" s="98">
        <v>2</v>
      </c>
      <c r="AN6" s="767"/>
      <c r="AO6" s="118" t="s">
        <v>347</v>
      </c>
      <c r="AP6" s="98">
        <v>5</v>
      </c>
    </row>
    <row r="7" spans="1:42" x14ac:dyDescent="0.2">
      <c r="B7" s="118" t="s">
        <v>258</v>
      </c>
      <c r="C7" s="117"/>
      <c r="D7" s="117"/>
      <c r="E7" s="117"/>
      <c r="F7" s="116"/>
      <c r="G7" s="116"/>
      <c r="H7" s="116"/>
      <c r="I7" s="116"/>
      <c r="J7" s="116"/>
      <c r="K7" s="116"/>
      <c r="L7" s="116"/>
      <c r="M7" s="116"/>
      <c r="N7" s="116"/>
      <c r="O7" s="116"/>
      <c r="P7" s="116"/>
      <c r="Q7" s="116"/>
      <c r="R7" s="115">
        <f t="shared" si="0"/>
        <v>0</v>
      </c>
      <c r="T7" s="118" t="s">
        <v>258</v>
      </c>
      <c r="U7" s="117"/>
      <c r="V7" s="117"/>
      <c r="W7" s="117"/>
      <c r="X7" s="116"/>
      <c r="Y7" s="116"/>
      <c r="Z7" s="116"/>
      <c r="AA7" s="116"/>
      <c r="AB7" s="116"/>
      <c r="AC7" s="116"/>
      <c r="AD7" s="116"/>
      <c r="AE7" s="116"/>
      <c r="AF7" s="116"/>
      <c r="AG7" s="116"/>
      <c r="AH7" s="116"/>
      <c r="AI7" s="116"/>
      <c r="AJ7" s="115">
        <f t="shared" si="1"/>
        <v>0</v>
      </c>
      <c r="AL7" s="121" t="s">
        <v>351</v>
      </c>
      <c r="AM7" s="98">
        <v>1</v>
      </c>
      <c r="AN7" s="767"/>
      <c r="AO7" s="121" t="s">
        <v>351</v>
      </c>
      <c r="AP7" s="98">
        <v>3</v>
      </c>
    </row>
    <row r="8" spans="1:42" x14ac:dyDescent="0.2">
      <c r="B8" s="121" t="s">
        <v>299</v>
      </c>
      <c r="F8" s="478"/>
      <c r="G8" s="478"/>
      <c r="H8" s="478"/>
      <c r="I8" s="478"/>
      <c r="J8" s="120"/>
      <c r="K8" s="120"/>
      <c r="L8" s="120"/>
      <c r="M8" s="120"/>
      <c r="N8" s="120"/>
      <c r="O8" s="120"/>
      <c r="P8" s="120"/>
      <c r="Q8" s="120"/>
      <c r="R8" s="115">
        <f t="shared" si="0"/>
        <v>0</v>
      </c>
      <c r="T8" s="121" t="s">
        <v>299</v>
      </c>
      <c r="X8" s="478"/>
      <c r="Y8" s="478"/>
      <c r="Z8" s="478">
        <v>1</v>
      </c>
      <c r="AA8" s="478">
        <v>3</v>
      </c>
      <c r="AB8" s="120">
        <v>1</v>
      </c>
      <c r="AC8" s="120"/>
      <c r="AD8" s="120"/>
      <c r="AE8" s="120"/>
      <c r="AF8" s="120"/>
      <c r="AG8" s="120"/>
      <c r="AH8" s="120"/>
      <c r="AI8" s="120"/>
      <c r="AJ8" s="115">
        <f t="shared" si="1"/>
        <v>5</v>
      </c>
      <c r="AL8" s="118" t="s">
        <v>347</v>
      </c>
      <c r="AM8" s="98">
        <v>0</v>
      </c>
      <c r="AN8" s="767"/>
      <c r="AO8" s="118" t="s">
        <v>356</v>
      </c>
      <c r="AP8" s="98">
        <v>3</v>
      </c>
    </row>
    <row r="9" spans="1:42" x14ac:dyDescent="0.2">
      <c r="B9" s="118" t="s">
        <v>349</v>
      </c>
      <c r="C9" s="117"/>
      <c r="D9" s="117"/>
      <c r="E9" s="117"/>
      <c r="F9" s="116"/>
      <c r="G9" s="116"/>
      <c r="H9" s="116"/>
      <c r="I9" s="116"/>
      <c r="J9" s="116"/>
      <c r="K9" s="116"/>
      <c r="L9" s="116"/>
      <c r="M9" s="116"/>
      <c r="N9" s="116"/>
      <c r="O9" s="116"/>
      <c r="P9" s="116"/>
      <c r="Q9" s="116"/>
      <c r="R9" s="115">
        <f t="shared" si="0"/>
        <v>0</v>
      </c>
      <c r="T9" s="118" t="s">
        <v>349</v>
      </c>
      <c r="U9" s="117"/>
      <c r="V9" s="117"/>
      <c r="W9" s="117"/>
      <c r="X9" s="116"/>
      <c r="Y9" s="116"/>
      <c r="Z9" s="116"/>
      <c r="AA9" s="116"/>
      <c r="AB9" s="116"/>
      <c r="AC9" s="116"/>
      <c r="AD9" s="116"/>
      <c r="AE9" s="116"/>
      <c r="AF9" s="116"/>
      <c r="AG9" s="116"/>
      <c r="AH9" s="116"/>
      <c r="AI9" s="116"/>
      <c r="AJ9" s="115">
        <f t="shared" si="1"/>
        <v>0</v>
      </c>
      <c r="AL9" s="121" t="s">
        <v>348</v>
      </c>
      <c r="AM9" s="98">
        <v>0</v>
      </c>
      <c r="AN9" s="767"/>
      <c r="AO9" s="121" t="s">
        <v>363</v>
      </c>
      <c r="AP9" s="98">
        <v>2</v>
      </c>
    </row>
    <row r="10" spans="1:42" x14ac:dyDescent="0.2">
      <c r="B10" s="121" t="s">
        <v>221</v>
      </c>
      <c r="F10" s="478"/>
      <c r="G10" s="478"/>
      <c r="H10" s="478"/>
      <c r="I10" s="478"/>
      <c r="J10" s="120"/>
      <c r="K10" s="120"/>
      <c r="L10" s="120"/>
      <c r="M10" s="120"/>
      <c r="N10" s="120"/>
      <c r="O10" s="120"/>
      <c r="P10" s="120"/>
      <c r="Q10" s="120"/>
      <c r="R10" s="115">
        <f t="shared" si="0"/>
        <v>0</v>
      </c>
      <c r="T10" s="121" t="s">
        <v>393</v>
      </c>
      <c r="X10" s="478"/>
      <c r="Y10" s="478"/>
      <c r="Z10" s="478"/>
      <c r="AA10" s="478">
        <v>1</v>
      </c>
      <c r="AB10" s="120">
        <v>1</v>
      </c>
      <c r="AC10" s="120"/>
      <c r="AD10" s="120"/>
      <c r="AE10" s="120"/>
      <c r="AF10" s="120"/>
      <c r="AG10" s="120"/>
      <c r="AH10" s="120"/>
      <c r="AI10" s="120"/>
      <c r="AJ10" s="115">
        <f t="shared" si="1"/>
        <v>2</v>
      </c>
      <c r="AL10" s="118" t="s">
        <v>258</v>
      </c>
      <c r="AM10" s="98">
        <v>0</v>
      </c>
      <c r="AN10" s="767"/>
      <c r="AO10" s="118" t="s">
        <v>364</v>
      </c>
      <c r="AP10" s="98">
        <v>2</v>
      </c>
    </row>
    <row r="11" spans="1:42" x14ac:dyDescent="0.2">
      <c r="B11" s="118" t="s">
        <v>350</v>
      </c>
      <c r="C11" s="117"/>
      <c r="D11" s="117"/>
      <c r="E11" s="117"/>
      <c r="F11" s="116"/>
      <c r="G11" s="116">
        <v>2</v>
      </c>
      <c r="H11" s="116">
        <v>4</v>
      </c>
      <c r="I11" s="116">
        <v>3</v>
      </c>
      <c r="J11" s="116">
        <v>1</v>
      </c>
      <c r="K11" s="116"/>
      <c r="L11" s="116"/>
      <c r="M11" s="116"/>
      <c r="N11" s="116"/>
      <c r="O11" s="116"/>
      <c r="P11" s="116"/>
      <c r="Q11" s="116"/>
      <c r="R11" s="115">
        <f t="shared" si="0"/>
        <v>10</v>
      </c>
      <c r="T11" s="118" t="s">
        <v>350</v>
      </c>
      <c r="U11" s="117"/>
      <c r="V11" s="117"/>
      <c r="W11" s="117"/>
      <c r="X11" s="116">
        <v>2</v>
      </c>
      <c r="Y11" s="116">
        <v>4</v>
      </c>
      <c r="Z11" s="116">
        <v>1</v>
      </c>
      <c r="AA11" s="116"/>
      <c r="AB11" s="116"/>
      <c r="AC11" s="116"/>
      <c r="AD11" s="116"/>
      <c r="AE11" s="116"/>
      <c r="AF11" s="116"/>
      <c r="AG11" s="116"/>
      <c r="AH11" s="116"/>
      <c r="AI11" s="116"/>
      <c r="AJ11" s="115">
        <f t="shared" si="1"/>
        <v>7</v>
      </c>
      <c r="AL11" s="121" t="s">
        <v>299</v>
      </c>
      <c r="AM11" s="98">
        <v>0</v>
      </c>
      <c r="AN11" s="767"/>
      <c r="AO11" s="118" t="s">
        <v>352</v>
      </c>
      <c r="AP11" s="98">
        <v>1</v>
      </c>
    </row>
    <row r="12" spans="1:42" x14ac:dyDescent="0.2">
      <c r="B12" s="121" t="s">
        <v>351</v>
      </c>
      <c r="F12" s="478"/>
      <c r="G12" s="478">
        <v>1</v>
      </c>
      <c r="H12" s="478">
        <v>4</v>
      </c>
      <c r="I12" s="478">
        <v>3</v>
      </c>
      <c r="J12" s="120"/>
      <c r="K12" s="120"/>
      <c r="L12" s="120"/>
      <c r="M12" s="120"/>
      <c r="N12" s="120"/>
      <c r="O12" s="120"/>
      <c r="P12" s="120"/>
      <c r="Q12" s="120"/>
      <c r="R12" s="115">
        <f t="shared" si="0"/>
        <v>8</v>
      </c>
      <c r="T12" s="121" t="s">
        <v>351</v>
      </c>
      <c r="X12" s="478">
        <v>2</v>
      </c>
      <c r="Y12" s="478">
        <v>1</v>
      </c>
      <c r="Z12" s="478">
        <v>2</v>
      </c>
      <c r="AA12" s="478">
        <v>2</v>
      </c>
      <c r="AB12" s="120">
        <v>2</v>
      </c>
      <c r="AC12" s="120"/>
      <c r="AD12" s="120"/>
      <c r="AE12" s="120"/>
      <c r="AF12" s="120"/>
      <c r="AG12" s="120"/>
      <c r="AH12" s="120"/>
      <c r="AI12" s="120"/>
      <c r="AJ12" s="115">
        <f t="shared" si="1"/>
        <v>9</v>
      </c>
      <c r="AL12" s="118" t="s">
        <v>349</v>
      </c>
      <c r="AM12" s="98">
        <v>0</v>
      </c>
      <c r="AN12" s="767"/>
      <c r="AO12" s="121" t="s">
        <v>348</v>
      </c>
      <c r="AP12" s="98">
        <v>0</v>
      </c>
    </row>
    <row r="13" spans="1:42" x14ac:dyDescent="0.2">
      <c r="B13" s="118" t="s">
        <v>352</v>
      </c>
      <c r="C13" s="117"/>
      <c r="D13" s="117"/>
      <c r="E13" s="117"/>
      <c r="F13" s="116"/>
      <c r="G13" s="116"/>
      <c r="H13" s="116"/>
      <c r="I13" s="116"/>
      <c r="J13" s="116"/>
      <c r="K13" s="116"/>
      <c r="L13" s="116"/>
      <c r="M13" s="116"/>
      <c r="N13" s="116"/>
      <c r="O13" s="116"/>
      <c r="P13" s="116"/>
      <c r="Q13" s="116"/>
      <c r="R13" s="115">
        <f t="shared" si="0"/>
        <v>0</v>
      </c>
      <c r="T13" s="118" t="s">
        <v>352</v>
      </c>
      <c r="U13" s="117"/>
      <c r="V13" s="117"/>
      <c r="W13" s="117"/>
      <c r="X13" s="116">
        <v>1</v>
      </c>
      <c r="Y13" s="116"/>
      <c r="Z13" s="116"/>
      <c r="AA13" s="116"/>
      <c r="AB13" s="116"/>
      <c r="AC13" s="116"/>
      <c r="AD13" s="116"/>
      <c r="AE13" s="116"/>
      <c r="AF13" s="116"/>
      <c r="AG13" s="116"/>
      <c r="AH13" s="116"/>
      <c r="AI13" s="116"/>
      <c r="AJ13" s="115">
        <f t="shared" si="1"/>
        <v>1</v>
      </c>
      <c r="AL13" s="121" t="s">
        <v>221</v>
      </c>
      <c r="AM13" s="98">
        <v>0</v>
      </c>
      <c r="AN13" s="767"/>
      <c r="AO13" s="118" t="s">
        <v>258</v>
      </c>
      <c r="AP13" s="98">
        <v>0</v>
      </c>
    </row>
    <row r="14" spans="1:42" x14ac:dyDescent="0.2">
      <c r="B14" s="121" t="s">
        <v>353</v>
      </c>
      <c r="F14" s="478"/>
      <c r="G14" s="478"/>
      <c r="H14" s="478"/>
      <c r="I14" s="478"/>
      <c r="J14" s="120"/>
      <c r="K14" s="120"/>
      <c r="L14" s="120"/>
      <c r="M14" s="120"/>
      <c r="N14" s="120"/>
      <c r="O14" s="120"/>
      <c r="P14" s="120"/>
      <c r="Q14" s="120"/>
      <c r="R14" s="115">
        <f t="shared" si="0"/>
        <v>0</v>
      </c>
      <c r="T14" s="121" t="s">
        <v>353</v>
      </c>
      <c r="X14" s="478"/>
      <c r="Y14" s="478"/>
      <c r="Z14" s="478">
        <v>1</v>
      </c>
      <c r="AA14" s="478">
        <v>2</v>
      </c>
      <c r="AB14" s="120">
        <v>2</v>
      </c>
      <c r="AC14" s="120"/>
      <c r="AD14" s="120"/>
      <c r="AE14" s="120"/>
      <c r="AF14" s="120"/>
      <c r="AG14" s="120"/>
      <c r="AH14" s="120"/>
      <c r="AI14" s="120"/>
      <c r="AJ14" s="115">
        <f t="shared" si="1"/>
        <v>5</v>
      </c>
      <c r="AL14" s="118" t="s">
        <v>352</v>
      </c>
      <c r="AM14" s="98">
        <v>0</v>
      </c>
      <c r="AN14" s="767"/>
      <c r="AO14" s="121" t="s">
        <v>299</v>
      </c>
      <c r="AP14" s="98">
        <v>0</v>
      </c>
    </row>
    <row r="15" spans="1:42" x14ac:dyDescent="0.2">
      <c r="B15" s="118" t="s">
        <v>354</v>
      </c>
      <c r="C15" s="117"/>
      <c r="D15" s="117"/>
      <c r="E15" s="117"/>
      <c r="F15" s="116">
        <v>2</v>
      </c>
      <c r="G15" s="116">
        <v>2</v>
      </c>
      <c r="H15" s="116"/>
      <c r="I15" s="116"/>
      <c r="J15" s="116">
        <v>1</v>
      </c>
      <c r="K15" s="116"/>
      <c r="L15" s="116"/>
      <c r="M15" s="116"/>
      <c r="N15" s="116"/>
      <c r="O15" s="116"/>
      <c r="P15" s="116"/>
      <c r="Q15" s="116"/>
      <c r="R15" s="115">
        <f t="shared" si="0"/>
        <v>5</v>
      </c>
      <c r="T15" s="118" t="s">
        <v>354</v>
      </c>
      <c r="U15" s="117"/>
      <c r="V15" s="117"/>
      <c r="W15" s="117"/>
      <c r="X15" s="116"/>
      <c r="Y15" s="116"/>
      <c r="Z15" s="116"/>
      <c r="AA15" s="116"/>
      <c r="AB15" s="116"/>
      <c r="AC15" s="116"/>
      <c r="AD15" s="116"/>
      <c r="AE15" s="116"/>
      <c r="AF15" s="116"/>
      <c r="AG15" s="116"/>
      <c r="AH15" s="116"/>
      <c r="AI15" s="116"/>
      <c r="AJ15" s="115">
        <f t="shared" si="1"/>
        <v>0</v>
      </c>
      <c r="AL15" s="121" t="s">
        <v>353</v>
      </c>
      <c r="AM15" s="98">
        <v>0</v>
      </c>
      <c r="AN15" s="767"/>
      <c r="AO15" s="118" t="s">
        <v>349</v>
      </c>
      <c r="AP15" s="98">
        <v>0</v>
      </c>
    </row>
    <row r="16" spans="1:42" x14ac:dyDescent="0.2">
      <c r="B16" s="121" t="s">
        <v>355</v>
      </c>
      <c r="F16" s="478"/>
      <c r="G16" s="478"/>
      <c r="H16" s="478"/>
      <c r="I16" s="478"/>
      <c r="J16" s="120"/>
      <c r="K16" s="120"/>
      <c r="L16" s="120"/>
      <c r="M16" s="120"/>
      <c r="N16" s="120"/>
      <c r="O16" s="120"/>
      <c r="P16" s="120"/>
      <c r="Q16" s="120"/>
      <c r="R16" s="115">
        <f t="shared" si="0"/>
        <v>0</v>
      </c>
      <c r="T16" s="121" t="s">
        <v>355</v>
      </c>
      <c r="X16" s="478"/>
      <c r="Y16" s="478"/>
      <c r="Z16" s="478"/>
      <c r="AA16" s="478"/>
      <c r="AB16" s="120"/>
      <c r="AC16" s="120"/>
      <c r="AD16" s="120"/>
      <c r="AE16" s="120"/>
      <c r="AF16" s="120"/>
      <c r="AG16" s="120"/>
      <c r="AH16" s="120"/>
      <c r="AI16" s="120"/>
      <c r="AJ16" s="115">
        <f t="shared" si="1"/>
        <v>0</v>
      </c>
      <c r="AL16" s="121" t="s">
        <v>355</v>
      </c>
      <c r="AM16" s="98">
        <v>0</v>
      </c>
      <c r="AN16" s="767"/>
      <c r="AO16" s="121" t="s">
        <v>221</v>
      </c>
      <c r="AP16" s="98">
        <v>0</v>
      </c>
    </row>
    <row r="17" spans="2:42" x14ac:dyDescent="0.2">
      <c r="B17" s="118" t="s">
        <v>356</v>
      </c>
      <c r="C17" s="117"/>
      <c r="D17" s="117"/>
      <c r="E17" s="117"/>
      <c r="F17" s="116"/>
      <c r="G17" s="116">
        <v>2</v>
      </c>
      <c r="H17" s="116">
        <v>1</v>
      </c>
      <c r="I17" s="116">
        <v>4</v>
      </c>
      <c r="J17" s="116">
        <v>5</v>
      </c>
      <c r="K17" s="116"/>
      <c r="L17" s="116"/>
      <c r="M17" s="116"/>
      <c r="N17" s="116"/>
      <c r="O17" s="116"/>
      <c r="P17" s="116"/>
      <c r="Q17" s="116"/>
      <c r="R17" s="115">
        <f t="shared" si="0"/>
        <v>12</v>
      </c>
      <c r="T17" s="118" t="s">
        <v>356</v>
      </c>
      <c r="U17" s="117"/>
      <c r="V17" s="117"/>
      <c r="W17" s="117"/>
      <c r="X17" s="116">
        <v>1</v>
      </c>
      <c r="Y17" s="116">
        <v>2</v>
      </c>
      <c r="Z17" s="116">
        <v>1</v>
      </c>
      <c r="AA17" s="116"/>
      <c r="AB17" s="116"/>
      <c r="AC17" s="116"/>
      <c r="AD17" s="116"/>
      <c r="AE17" s="116"/>
      <c r="AF17" s="116"/>
      <c r="AG17" s="116"/>
      <c r="AH17" s="116"/>
      <c r="AI17" s="116"/>
      <c r="AJ17" s="115">
        <f t="shared" si="1"/>
        <v>4</v>
      </c>
      <c r="AL17" s="121" t="s">
        <v>357</v>
      </c>
      <c r="AM17" s="98">
        <v>0</v>
      </c>
      <c r="AN17" s="767"/>
      <c r="AO17" s="121" t="s">
        <v>353</v>
      </c>
      <c r="AP17" s="98">
        <v>0</v>
      </c>
    </row>
    <row r="18" spans="2:42" x14ac:dyDescent="0.2">
      <c r="B18" s="121" t="s">
        <v>357</v>
      </c>
      <c r="F18" s="478"/>
      <c r="G18" s="478"/>
      <c r="H18" s="478"/>
      <c r="I18" s="478"/>
      <c r="J18" s="120"/>
      <c r="K18" s="120"/>
      <c r="L18" s="120"/>
      <c r="M18" s="120"/>
      <c r="N18" s="120"/>
      <c r="O18" s="120"/>
      <c r="P18" s="120"/>
      <c r="Q18" s="120"/>
      <c r="R18" s="115">
        <f t="shared" si="0"/>
        <v>0</v>
      </c>
      <c r="T18" s="121" t="s">
        <v>357</v>
      </c>
      <c r="X18" s="478"/>
      <c r="Y18" s="478"/>
      <c r="Z18" s="478"/>
      <c r="AA18" s="478"/>
      <c r="AB18" s="120"/>
      <c r="AC18" s="120"/>
      <c r="AD18" s="120"/>
      <c r="AE18" s="120"/>
      <c r="AF18" s="120"/>
      <c r="AG18" s="120"/>
      <c r="AH18" s="120"/>
      <c r="AI18" s="120"/>
      <c r="AJ18" s="115">
        <f t="shared" si="1"/>
        <v>0</v>
      </c>
      <c r="AL18" s="118" t="s">
        <v>358</v>
      </c>
      <c r="AM18" s="98">
        <v>0</v>
      </c>
      <c r="AN18" s="767"/>
      <c r="AO18" s="118" t="s">
        <v>354</v>
      </c>
      <c r="AP18" s="98">
        <v>0</v>
      </c>
    </row>
    <row r="19" spans="2:42" x14ac:dyDescent="0.2">
      <c r="B19" s="118" t="s">
        <v>358</v>
      </c>
      <c r="C19" s="117"/>
      <c r="D19" s="117"/>
      <c r="E19" s="117"/>
      <c r="F19" s="116"/>
      <c r="G19" s="116"/>
      <c r="H19" s="116"/>
      <c r="I19" s="116"/>
      <c r="J19" s="116"/>
      <c r="K19" s="116"/>
      <c r="L19" s="116"/>
      <c r="M19" s="116"/>
      <c r="N19" s="116"/>
      <c r="O19" s="116"/>
      <c r="P19" s="116"/>
      <c r="Q19" s="116"/>
      <c r="R19" s="115">
        <f t="shared" si="0"/>
        <v>0</v>
      </c>
      <c r="T19" s="118" t="s">
        <v>358</v>
      </c>
      <c r="U19" s="117"/>
      <c r="V19" s="117"/>
      <c r="W19" s="117"/>
      <c r="X19" s="116"/>
      <c r="Y19" s="116"/>
      <c r="Z19" s="116">
        <v>2</v>
      </c>
      <c r="AA19" s="116">
        <v>3</v>
      </c>
      <c r="AB19" s="116">
        <v>1</v>
      </c>
      <c r="AC19" s="116"/>
      <c r="AD19" s="116"/>
      <c r="AE19" s="116"/>
      <c r="AF19" s="116"/>
      <c r="AG19" s="116"/>
      <c r="AH19" s="116"/>
      <c r="AI19" s="116"/>
      <c r="AJ19" s="115">
        <f t="shared" si="1"/>
        <v>6</v>
      </c>
      <c r="AL19" s="121" t="s">
        <v>359</v>
      </c>
      <c r="AM19" s="98">
        <v>0</v>
      </c>
      <c r="AN19" s="767"/>
      <c r="AO19" s="121" t="s">
        <v>355</v>
      </c>
      <c r="AP19" s="98">
        <v>0</v>
      </c>
    </row>
    <row r="20" spans="2:42" x14ac:dyDescent="0.2">
      <c r="B20" s="121" t="s">
        <v>359</v>
      </c>
      <c r="F20" s="478"/>
      <c r="G20" s="478"/>
      <c r="H20" s="478"/>
      <c r="I20" s="478"/>
      <c r="J20" s="120"/>
      <c r="K20" s="120"/>
      <c r="L20" s="120"/>
      <c r="M20" s="120"/>
      <c r="N20" s="120"/>
      <c r="O20" s="120"/>
      <c r="P20" s="120"/>
      <c r="Q20" s="120"/>
      <c r="R20" s="115">
        <f t="shared" si="0"/>
        <v>0</v>
      </c>
      <c r="T20" s="121" t="s">
        <v>359</v>
      </c>
      <c r="X20" s="478"/>
      <c r="Y20" s="478"/>
      <c r="Z20" s="478"/>
      <c r="AA20" s="478"/>
      <c r="AB20" s="120">
        <v>1</v>
      </c>
      <c r="AC20" s="120"/>
      <c r="AD20" s="120"/>
      <c r="AE20" s="120"/>
      <c r="AF20" s="120"/>
      <c r="AG20" s="120"/>
      <c r="AH20" s="120"/>
      <c r="AI20" s="120"/>
      <c r="AJ20" s="115">
        <f t="shared" si="1"/>
        <v>1</v>
      </c>
      <c r="AL20" s="118" t="s">
        <v>360</v>
      </c>
      <c r="AM20" s="98">
        <v>0</v>
      </c>
      <c r="AN20" s="767"/>
      <c r="AO20" s="121" t="s">
        <v>357</v>
      </c>
      <c r="AP20" s="98">
        <v>0</v>
      </c>
    </row>
    <row r="21" spans="2:42" x14ac:dyDescent="0.2">
      <c r="B21" s="118" t="s">
        <v>384</v>
      </c>
      <c r="C21" s="117"/>
      <c r="D21" s="117"/>
      <c r="E21" s="117"/>
      <c r="F21" s="116"/>
      <c r="G21" s="116"/>
      <c r="H21" s="116"/>
      <c r="I21" s="116"/>
      <c r="J21" s="116"/>
      <c r="K21" s="116"/>
      <c r="L21" s="116"/>
      <c r="M21" s="116"/>
      <c r="N21" s="116"/>
      <c r="O21" s="116"/>
      <c r="P21" s="116"/>
      <c r="Q21" s="116"/>
      <c r="R21" s="115">
        <f t="shared" si="0"/>
        <v>0</v>
      </c>
      <c r="T21" s="118" t="s">
        <v>384</v>
      </c>
      <c r="U21" s="117"/>
      <c r="V21" s="117"/>
      <c r="W21" s="117"/>
      <c r="X21" s="116">
        <v>1</v>
      </c>
      <c r="Y21" s="116">
        <v>5</v>
      </c>
      <c r="Z21" s="116">
        <v>1</v>
      </c>
      <c r="AA21" s="116">
        <v>2</v>
      </c>
      <c r="AB21" s="116"/>
      <c r="AC21" s="116"/>
      <c r="AD21" s="116"/>
      <c r="AE21" s="116"/>
      <c r="AF21" s="116"/>
      <c r="AG21" s="116"/>
      <c r="AH21" s="116"/>
      <c r="AI21" s="116"/>
      <c r="AJ21" s="115">
        <f t="shared" si="1"/>
        <v>9</v>
      </c>
      <c r="AL21" s="121" t="s">
        <v>361</v>
      </c>
      <c r="AM21" s="98">
        <v>0</v>
      </c>
      <c r="AN21" s="767"/>
      <c r="AO21" s="118" t="s">
        <v>358</v>
      </c>
      <c r="AP21" s="98">
        <v>0</v>
      </c>
    </row>
    <row r="22" spans="2:42" x14ac:dyDescent="0.2">
      <c r="B22" s="121" t="s">
        <v>361</v>
      </c>
      <c r="F22" s="478"/>
      <c r="G22" s="478"/>
      <c r="H22" s="478"/>
      <c r="I22" s="478"/>
      <c r="J22" s="120"/>
      <c r="K22" s="120"/>
      <c r="L22" s="120"/>
      <c r="M22" s="120"/>
      <c r="N22" s="120"/>
      <c r="O22" s="120"/>
      <c r="P22" s="120"/>
      <c r="Q22" s="120"/>
      <c r="R22" s="115">
        <f t="shared" si="0"/>
        <v>0</v>
      </c>
      <c r="T22" s="121" t="s">
        <v>361</v>
      </c>
      <c r="X22" s="478"/>
      <c r="Y22" s="478"/>
      <c r="Z22" s="478"/>
      <c r="AA22" s="478"/>
      <c r="AB22" s="120"/>
      <c r="AC22" s="120"/>
      <c r="AD22" s="120"/>
      <c r="AE22" s="120"/>
      <c r="AF22" s="120"/>
      <c r="AG22" s="120"/>
      <c r="AH22" s="120"/>
      <c r="AI22" s="120"/>
      <c r="AJ22" s="115">
        <f t="shared" si="1"/>
        <v>0</v>
      </c>
      <c r="AL22" s="118" t="s">
        <v>362</v>
      </c>
      <c r="AM22" s="98">
        <v>0</v>
      </c>
      <c r="AN22" s="767"/>
      <c r="AO22" s="121" t="s">
        <v>359</v>
      </c>
      <c r="AP22" s="98">
        <v>0</v>
      </c>
    </row>
    <row r="23" spans="2:42" x14ac:dyDescent="0.2">
      <c r="B23" s="118" t="s">
        <v>362</v>
      </c>
      <c r="C23" s="117"/>
      <c r="D23" s="117"/>
      <c r="E23" s="117"/>
      <c r="F23" s="116"/>
      <c r="G23" s="116"/>
      <c r="H23" s="116"/>
      <c r="I23" s="116"/>
      <c r="J23" s="116"/>
      <c r="K23" s="116"/>
      <c r="L23" s="116"/>
      <c r="M23" s="116"/>
      <c r="N23" s="116"/>
      <c r="O23" s="116"/>
      <c r="P23" s="116"/>
      <c r="Q23" s="116"/>
      <c r="R23" s="115">
        <f t="shared" si="0"/>
        <v>0</v>
      </c>
      <c r="T23" s="118" t="s">
        <v>362</v>
      </c>
      <c r="U23" s="117"/>
      <c r="V23" s="117"/>
      <c r="W23" s="117"/>
      <c r="X23" s="116"/>
      <c r="Y23" s="116"/>
      <c r="Z23" s="116"/>
      <c r="AA23" s="116"/>
      <c r="AB23" s="116"/>
      <c r="AC23" s="116"/>
      <c r="AD23" s="116"/>
      <c r="AE23" s="116"/>
      <c r="AF23" s="116"/>
      <c r="AG23" s="116"/>
      <c r="AH23" s="116"/>
      <c r="AI23" s="116"/>
      <c r="AJ23" s="115">
        <f t="shared" si="1"/>
        <v>0</v>
      </c>
      <c r="AL23" s="121" t="s">
        <v>363</v>
      </c>
      <c r="AM23" s="98">
        <v>0</v>
      </c>
      <c r="AN23" s="767"/>
      <c r="AO23" s="121" t="s">
        <v>361</v>
      </c>
      <c r="AP23" s="98">
        <v>0</v>
      </c>
    </row>
    <row r="24" spans="2:42" x14ac:dyDescent="0.2">
      <c r="B24" s="121" t="s">
        <v>363</v>
      </c>
      <c r="F24" s="478"/>
      <c r="G24" s="478"/>
      <c r="H24" s="478">
        <v>1</v>
      </c>
      <c r="I24" s="478"/>
      <c r="J24" s="120">
        <v>1</v>
      </c>
      <c r="K24" s="120"/>
      <c r="L24" s="120"/>
      <c r="M24" s="120"/>
      <c r="N24" s="120"/>
      <c r="O24" s="120"/>
      <c r="P24" s="120"/>
      <c r="Q24" s="120"/>
      <c r="R24" s="115">
        <f t="shared" si="0"/>
        <v>2</v>
      </c>
      <c r="T24" s="121" t="s">
        <v>363</v>
      </c>
      <c r="X24" s="478"/>
      <c r="Y24" s="478">
        <v>2</v>
      </c>
      <c r="Z24" s="478"/>
      <c r="AA24" s="478"/>
      <c r="AB24" s="120">
        <v>3</v>
      </c>
      <c r="AC24" s="120"/>
      <c r="AD24" s="120"/>
      <c r="AE24" s="120"/>
      <c r="AF24" s="120"/>
      <c r="AG24" s="120"/>
      <c r="AH24" s="120"/>
      <c r="AI24" s="120"/>
      <c r="AJ24" s="115">
        <f t="shared" si="1"/>
        <v>5</v>
      </c>
      <c r="AL24" s="118" t="s">
        <v>364</v>
      </c>
      <c r="AM24" s="98">
        <v>0</v>
      </c>
      <c r="AN24" s="767"/>
      <c r="AO24" s="118" t="s">
        <v>362</v>
      </c>
      <c r="AP24" s="98">
        <v>0</v>
      </c>
    </row>
    <row r="25" spans="2:42" x14ac:dyDescent="0.2">
      <c r="B25" s="118" t="s">
        <v>364</v>
      </c>
      <c r="C25" s="117"/>
      <c r="D25" s="117"/>
      <c r="E25" s="117"/>
      <c r="F25" s="116"/>
      <c r="G25" s="116"/>
      <c r="H25" s="116"/>
      <c r="I25" s="116"/>
      <c r="J25" s="116"/>
      <c r="K25" s="116"/>
      <c r="L25" s="116"/>
      <c r="M25" s="116"/>
      <c r="N25" s="116"/>
      <c r="O25" s="116"/>
      <c r="P25" s="116"/>
      <c r="Q25" s="116"/>
      <c r="R25" s="115">
        <f t="shared" si="0"/>
        <v>0</v>
      </c>
      <c r="T25" s="118" t="s">
        <v>364</v>
      </c>
      <c r="U25" s="117"/>
      <c r="V25" s="117"/>
      <c r="W25" s="117"/>
      <c r="X25" s="116">
        <v>1</v>
      </c>
      <c r="Y25" s="116">
        <v>1</v>
      </c>
      <c r="Z25" s="116"/>
      <c r="AA25" s="116"/>
      <c r="AB25" s="116"/>
      <c r="AC25" s="116"/>
      <c r="AD25" s="116"/>
      <c r="AE25" s="116"/>
      <c r="AF25" s="116"/>
      <c r="AG25" s="116"/>
      <c r="AH25" s="116"/>
      <c r="AI25" s="116"/>
      <c r="AJ25" s="115">
        <f t="shared" si="1"/>
        <v>2</v>
      </c>
      <c r="AN25" s="767"/>
      <c r="AO25" s="121"/>
    </row>
    <row r="26" spans="2:42" x14ac:dyDescent="0.2">
      <c r="B26" s="121" t="s">
        <v>385</v>
      </c>
      <c r="F26" s="478"/>
      <c r="G26" s="478"/>
      <c r="H26" s="478"/>
      <c r="I26" s="478"/>
      <c r="J26" s="120"/>
      <c r="K26" s="120"/>
      <c r="L26" s="120"/>
      <c r="M26" s="120"/>
      <c r="N26" s="120"/>
      <c r="O26" s="120"/>
      <c r="P26" s="120"/>
      <c r="Q26" s="120"/>
      <c r="R26" s="115">
        <f t="shared" si="0"/>
        <v>0</v>
      </c>
      <c r="T26" s="121" t="s">
        <v>386</v>
      </c>
      <c r="X26" s="478"/>
      <c r="Y26" s="478"/>
      <c r="Z26" s="478"/>
      <c r="AA26" s="478"/>
      <c r="AB26" s="120"/>
      <c r="AC26" s="120"/>
      <c r="AD26" s="120"/>
      <c r="AE26" s="120"/>
      <c r="AF26" s="120"/>
      <c r="AG26" s="120"/>
      <c r="AH26" s="120"/>
      <c r="AI26" s="120"/>
      <c r="AJ26" s="115">
        <f t="shared" si="1"/>
        <v>0</v>
      </c>
      <c r="AN26" s="767"/>
      <c r="AO26" s="180"/>
    </row>
    <row r="27" spans="2:42" x14ac:dyDescent="0.2">
      <c r="B27" s="118"/>
      <c r="C27" s="117"/>
      <c r="D27" s="117"/>
      <c r="E27" s="117"/>
      <c r="F27" s="116"/>
      <c r="G27" s="116"/>
      <c r="H27" s="116"/>
      <c r="I27" s="116"/>
      <c r="J27" s="116"/>
      <c r="K27" s="116"/>
      <c r="L27" s="116"/>
      <c r="M27" s="116"/>
      <c r="N27" s="116"/>
      <c r="O27" s="116"/>
      <c r="P27" s="116"/>
      <c r="Q27" s="116"/>
      <c r="R27" s="115">
        <f t="shared" si="0"/>
        <v>0</v>
      </c>
      <c r="T27" s="118"/>
      <c r="U27" s="117"/>
      <c r="V27" s="117"/>
      <c r="W27" s="117"/>
      <c r="X27" s="116"/>
      <c r="Y27" s="116"/>
      <c r="Z27" s="116"/>
      <c r="AA27" s="116"/>
      <c r="AB27" s="116"/>
      <c r="AC27" s="116"/>
      <c r="AD27" s="116"/>
      <c r="AE27" s="116"/>
      <c r="AF27" s="116"/>
      <c r="AG27" s="116"/>
      <c r="AH27" s="116"/>
      <c r="AI27" s="116"/>
      <c r="AJ27" s="115">
        <f t="shared" si="1"/>
        <v>0</v>
      </c>
      <c r="AN27" s="767"/>
      <c r="AO27" s="180"/>
    </row>
    <row r="28" spans="2:42" x14ac:dyDescent="0.2">
      <c r="B28" s="121"/>
      <c r="F28" s="478"/>
      <c r="G28" s="478"/>
      <c r="H28" s="478"/>
      <c r="I28" s="478"/>
      <c r="J28" s="120"/>
      <c r="K28" s="120"/>
      <c r="L28" s="120"/>
      <c r="M28" s="120"/>
      <c r="N28" s="120"/>
      <c r="O28" s="120"/>
      <c r="P28" s="120"/>
      <c r="Q28" s="120"/>
      <c r="R28" s="115">
        <f t="shared" si="0"/>
        <v>0</v>
      </c>
      <c r="T28" s="121"/>
      <c r="X28" s="478"/>
      <c r="Y28" s="478"/>
      <c r="Z28" s="478"/>
      <c r="AA28" s="478"/>
      <c r="AB28" s="120"/>
      <c r="AC28" s="120"/>
      <c r="AD28" s="120"/>
      <c r="AE28" s="120"/>
      <c r="AF28" s="120"/>
      <c r="AG28" s="120"/>
      <c r="AH28" s="120"/>
      <c r="AI28" s="120"/>
      <c r="AJ28" s="115">
        <f t="shared" si="1"/>
        <v>0</v>
      </c>
      <c r="AN28" s="767"/>
      <c r="AO28" s="180"/>
    </row>
    <row r="29" spans="2:42" x14ac:dyDescent="0.2">
      <c r="B29" s="118"/>
      <c r="C29" s="117"/>
      <c r="D29" s="117"/>
      <c r="E29" s="117"/>
      <c r="F29" s="116"/>
      <c r="G29" s="116"/>
      <c r="H29" s="116"/>
      <c r="I29" s="116"/>
      <c r="J29" s="116"/>
      <c r="K29" s="116"/>
      <c r="L29" s="116"/>
      <c r="M29" s="116"/>
      <c r="N29" s="116"/>
      <c r="O29" s="116"/>
      <c r="P29" s="116"/>
      <c r="Q29" s="116"/>
      <c r="R29" s="115">
        <f t="shared" si="0"/>
        <v>0</v>
      </c>
      <c r="T29" s="118"/>
      <c r="U29" s="117"/>
      <c r="V29" s="117"/>
      <c r="W29" s="117"/>
      <c r="X29" s="116"/>
      <c r="Y29" s="116"/>
      <c r="Z29" s="116"/>
      <c r="AA29" s="116"/>
      <c r="AB29" s="116"/>
      <c r="AC29" s="116"/>
      <c r="AD29" s="116"/>
      <c r="AE29" s="116"/>
      <c r="AF29" s="116"/>
      <c r="AG29" s="116"/>
      <c r="AH29" s="116"/>
      <c r="AI29" s="116"/>
      <c r="AJ29" s="115">
        <f t="shared" si="1"/>
        <v>0</v>
      </c>
      <c r="AN29" s="767"/>
      <c r="AO29" s="180"/>
    </row>
    <row r="30" spans="2:42" x14ac:dyDescent="0.2">
      <c r="B30" s="121"/>
      <c r="F30" s="478"/>
      <c r="G30" s="478"/>
      <c r="H30" s="478"/>
      <c r="I30" s="478"/>
      <c r="J30" s="120"/>
      <c r="K30" s="120"/>
      <c r="L30" s="120"/>
      <c r="M30" s="120"/>
      <c r="N30" s="120"/>
      <c r="O30" s="120"/>
      <c r="P30" s="120"/>
      <c r="Q30" s="120"/>
      <c r="R30" s="115">
        <f t="shared" si="0"/>
        <v>0</v>
      </c>
      <c r="T30" s="121"/>
      <c r="X30" s="478"/>
      <c r="Y30" s="478"/>
      <c r="Z30" s="478"/>
      <c r="AA30" s="478"/>
      <c r="AB30" s="120"/>
      <c r="AC30" s="120"/>
      <c r="AD30" s="120"/>
      <c r="AE30" s="120"/>
      <c r="AF30" s="120"/>
      <c r="AG30" s="120"/>
      <c r="AH30" s="120"/>
      <c r="AI30" s="120"/>
      <c r="AJ30" s="115">
        <f t="shared" si="1"/>
        <v>0</v>
      </c>
      <c r="AN30" s="767"/>
      <c r="AO30" s="180"/>
    </row>
    <row r="31" spans="2:42" x14ac:dyDescent="0.2">
      <c r="B31" s="118"/>
      <c r="C31" s="117"/>
      <c r="D31" s="117"/>
      <c r="E31" s="117"/>
      <c r="F31" s="116"/>
      <c r="G31" s="116"/>
      <c r="H31" s="116"/>
      <c r="I31" s="116"/>
      <c r="J31" s="116"/>
      <c r="K31" s="116"/>
      <c r="L31" s="116"/>
      <c r="M31" s="116"/>
      <c r="N31" s="116"/>
      <c r="O31" s="116"/>
      <c r="P31" s="116"/>
      <c r="Q31" s="116"/>
      <c r="R31" s="115">
        <f t="shared" si="0"/>
        <v>0</v>
      </c>
      <c r="T31" s="118"/>
      <c r="U31" s="117"/>
      <c r="V31" s="117"/>
      <c r="W31" s="117"/>
      <c r="X31" s="116"/>
      <c r="Y31" s="116"/>
      <c r="Z31" s="116"/>
      <c r="AA31" s="116"/>
      <c r="AB31" s="116"/>
      <c r="AC31" s="116"/>
      <c r="AD31" s="116"/>
      <c r="AE31" s="116"/>
      <c r="AF31" s="116"/>
      <c r="AG31" s="116"/>
      <c r="AH31" s="116"/>
      <c r="AI31" s="116"/>
      <c r="AJ31" s="115">
        <f t="shared" si="1"/>
        <v>0</v>
      </c>
    </row>
    <row r="32" spans="2:42" x14ac:dyDescent="0.2">
      <c r="B32" s="121"/>
      <c r="F32" s="478"/>
      <c r="G32" s="478"/>
      <c r="H32" s="478"/>
      <c r="I32" s="478"/>
      <c r="J32" s="120"/>
      <c r="K32" s="120"/>
      <c r="L32" s="120"/>
      <c r="M32" s="120"/>
      <c r="N32" s="120"/>
      <c r="O32" s="120"/>
      <c r="P32" s="120"/>
      <c r="Q32" s="120"/>
      <c r="R32" s="115">
        <f t="shared" si="0"/>
        <v>0</v>
      </c>
      <c r="T32" s="121"/>
      <c r="X32" s="478"/>
      <c r="Y32" s="478"/>
      <c r="Z32" s="478"/>
      <c r="AA32" s="478"/>
      <c r="AB32" s="120"/>
      <c r="AC32" s="120"/>
      <c r="AD32" s="120"/>
      <c r="AE32" s="120"/>
      <c r="AF32" s="120"/>
      <c r="AG32" s="120"/>
      <c r="AH32" s="120"/>
      <c r="AI32" s="120"/>
      <c r="AJ32" s="115">
        <f t="shared" si="1"/>
        <v>0</v>
      </c>
    </row>
    <row r="33" spans="2:38" x14ac:dyDescent="0.2">
      <c r="B33" s="118"/>
      <c r="C33" s="117"/>
      <c r="D33" s="117"/>
      <c r="E33" s="117"/>
      <c r="F33" s="116"/>
      <c r="G33" s="116"/>
      <c r="H33" s="116"/>
      <c r="I33" s="116"/>
      <c r="J33" s="116"/>
      <c r="K33" s="116"/>
      <c r="L33" s="116"/>
      <c r="M33" s="116"/>
      <c r="N33" s="116"/>
      <c r="O33" s="116"/>
      <c r="P33" s="116"/>
      <c r="Q33" s="116"/>
      <c r="R33" s="115">
        <f t="shared" si="0"/>
        <v>0</v>
      </c>
      <c r="T33" s="118"/>
      <c r="U33" s="117"/>
      <c r="V33" s="117"/>
      <c r="W33" s="117"/>
      <c r="X33" s="116"/>
      <c r="Y33" s="116"/>
      <c r="Z33" s="116"/>
      <c r="AA33" s="116"/>
      <c r="AB33" s="116"/>
      <c r="AC33" s="116"/>
      <c r="AD33" s="116"/>
      <c r="AE33" s="116"/>
      <c r="AF33" s="116"/>
      <c r="AG33" s="116"/>
      <c r="AH33" s="116"/>
      <c r="AI33" s="116"/>
      <c r="AJ33" s="115">
        <f t="shared" si="1"/>
        <v>0</v>
      </c>
    </row>
    <row r="34" spans="2:38" x14ac:dyDescent="0.2">
      <c r="B34" s="108"/>
      <c r="R34" s="109"/>
      <c r="T34" s="108"/>
      <c r="AJ34" s="109"/>
    </row>
    <row r="35" spans="2:38" ht="13.5" thickBot="1" x14ac:dyDescent="0.25">
      <c r="B35" s="108"/>
      <c r="R35" s="109"/>
      <c r="T35" s="108"/>
      <c r="AJ35" s="109"/>
      <c r="AL35" s="98" t="s">
        <v>217</v>
      </c>
    </row>
    <row r="36" spans="2:38" x14ac:dyDescent="0.2">
      <c r="B36" s="108"/>
      <c r="E36" s="107"/>
      <c r="F36" s="106"/>
      <c r="G36" s="106"/>
      <c r="H36" s="106"/>
      <c r="I36" s="106"/>
      <c r="J36" s="106"/>
      <c r="K36" s="106"/>
      <c r="L36" s="106"/>
      <c r="M36" s="106"/>
      <c r="N36" s="106"/>
      <c r="O36" s="106"/>
      <c r="P36" s="106"/>
      <c r="Q36" s="106"/>
      <c r="R36" s="105" t="s">
        <v>21</v>
      </c>
      <c r="T36" s="108"/>
      <c r="W36" s="107"/>
      <c r="X36" s="106"/>
      <c r="Y36" s="106"/>
      <c r="Z36" s="106"/>
      <c r="AA36" s="106"/>
      <c r="AB36" s="106"/>
      <c r="AC36" s="106"/>
      <c r="AD36" s="106"/>
      <c r="AE36" s="106"/>
      <c r="AF36" s="106"/>
      <c r="AG36" s="106"/>
      <c r="AH36" s="106"/>
      <c r="AI36" s="106"/>
      <c r="AJ36" s="105" t="s">
        <v>21</v>
      </c>
    </row>
    <row r="37" spans="2:38" ht="13.5" thickBot="1" x14ac:dyDescent="0.25">
      <c r="B37" s="102"/>
      <c r="C37" s="101"/>
      <c r="D37" s="101"/>
      <c r="E37" s="102" t="s">
        <v>20</v>
      </c>
      <c r="F37" s="101">
        <f t="shared" ref="F37:R37" si="2">SUM(F5:F33)</f>
        <v>2</v>
      </c>
      <c r="G37" s="101">
        <f t="shared" si="2"/>
        <v>7</v>
      </c>
      <c r="H37" s="101">
        <f t="shared" si="2"/>
        <v>11</v>
      </c>
      <c r="I37" s="101">
        <f t="shared" si="2"/>
        <v>10</v>
      </c>
      <c r="J37" s="101">
        <f t="shared" si="2"/>
        <v>8</v>
      </c>
      <c r="K37" s="101">
        <f t="shared" si="2"/>
        <v>0</v>
      </c>
      <c r="L37" s="101">
        <f t="shared" si="2"/>
        <v>0</v>
      </c>
      <c r="M37" s="101">
        <f t="shared" si="2"/>
        <v>0</v>
      </c>
      <c r="N37" s="101">
        <f t="shared" si="2"/>
        <v>0</v>
      </c>
      <c r="O37" s="101">
        <f t="shared" si="2"/>
        <v>0</v>
      </c>
      <c r="P37" s="101">
        <f t="shared" si="2"/>
        <v>0</v>
      </c>
      <c r="Q37" s="101">
        <f t="shared" si="2"/>
        <v>0</v>
      </c>
      <c r="R37" s="100">
        <f t="shared" si="2"/>
        <v>38</v>
      </c>
      <c r="T37" s="102"/>
      <c r="U37" s="101"/>
      <c r="V37" s="101"/>
      <c r="W37" s="102" t="s">
        <v>20</v>
      </c>
      <c r="X37" s="101">
        <f>SUM(X5:X33)</f>
        <v>11</v>
      </c>
      <c r="Y37" s="101">
        <f t="shared" ref="Y37:AJ37" si="3">SUM(Y5:Y33)</f>
        <v>17</v>
      </c>
      <c r="Z37" s="101">
        <f t="shared" si="3"/>
        <v>10</v>
      </c>
      <c r="AA37" s="101">
        <f t="shared" si="3"/>
        <v>18</v>
      </c>
      <c r="AB37" s="101">
        <f t="shared" si="3"/>
        <v>13</v>
      </c>
      <c r="AC37" s="101">
        <f t="shared" si="3"/>
        <v>0</v>
      </c>
      <c r="AD37" s="101">
        <f t="shared" si="3"/>
        <v>0</v>
      </c>
      <c r="AE37" s="101">
        <f t="shared" si="3"/>
        <v>0</v>
      </c>
      <c r="AF37" s="101">
        <f t="shared" si="3"/>
        <v>0</v>
      </c>
      <c r="AG37" s="101">
        <f t="shared" si="3"/>
        <v>0</v>
      </c>
      <c r="AH37" s="101">
        <f t="shared" si="3"/>
        <v>0</v>
      </c>
      <c r="AI37" s="101">
        <f t="shared" si="3"/>
        <v>0</v>
      </c>
      <c r="AJ37" s="100">
        <f t="shared" si="3"/>
        <v>69</v>
      </c>
    </row>
    <row r="38" spans="2:38" ht="13.5" thickBot="1" x14ac:dyDescent="0.25">
      <c r="V38" s="99"/>
      <c r="W38" s="99"/>
      <c r="X38" s="99"/>
      <c r="Y38" s="99"/>
      <c r="Z38" s="99"/>
      <c r="AA38" s="99"/>
      <c r="AB38" s="99"/>
      <c r="AC38" s="99"/>
      <c r="AD38" s="99"/>
      <c r="AE38" s="99"/>
      <c r="AF38" s="99"/>
      <c r="AG38" s="99"/>
    </row>
    <row r="39" spans="2:38" x14ac:dyDescent="0.2">
      <c r="D39" s="107"/>
      <c r="E39" s="106"/>
      <c r="F39" s="113" t="s">
        <v>60</v>
      </c>
      <c r="G39" s="113" t="s">
        <v>59</v>
      </c>
      <c r="H39" s="113" t="s">
        <v>58</v>
      </c>
      <c r="I39" s="113" t="s">
        <v>57</v>
      </c>
      <c r="J39" s="113" t="s">
        <v>56</v>
      </c>
      <c r="K39" s="113" t="s">
        <v>55</v>
      </c>
      <c r="L39" s="113" t="s">
        <v>54</v>
      </c>
      <c r="M39" s="113" t="s">
        <v>53</v>
      </c>
      <c r="N39" s="113" t="s">
        <v>52</v>
      </c>
      <c r="O39" s="113" t="s">
        <v>51</v>
      </c>
      <c r="P39" s="113" t="s">
        <v>50</v>
      </c>
      <c r="Q39" s="113" t="s">
        <v>49</v>
      </c>
      <c r="R39" s="113" t="s">
        <v>148</v>
      </c>
      <c r="U39" s="98" t="s">
        <v>381</v>
      </c>
      <c r="V39" s="99" t="s">
        <v>222</v>
      </c>
      <c r="W39" s="99" t="s">
        <v>223</v>
      </c>
      <c r="X39" s="99" t="s">
        <v>224</v>
      </c>
      <c r="Y39" s="99" t="s">
        <v>225</v>
      </c>
      <c r="Z39" s="99" t="s">
        <v>226</v>
      </c>
      <c r="AA39" s="99" t="s">
        <v>227</v>
      </c>
      <c r="AB39" s="99" t="s">
        <v>228</v>
      </c>
      <c r="AC39" s="99" t="s">
        <v>229</v>
      </c>
      <c r="AD39" s="99" t="s">
        <v>230</v>
      </c>
      <c r="AE39" s="99" t="s">
        <v>231</v>
      </c>
      <c r="AF39" s="99" t="s">
        <v>232</v>
      </c>
      <c r="AG39" s="99" t="s">
        <v>233</v>
      </c>
    </row>
    <row r="40" spans="2:38" x14ac:dyDescent="0.2">
      <c r="D40" s="668" t="s">
        <v>321</v>
      </c>
      <c r="E40" s="117"/>
      <c r="F40" s="669">
        <v>1</v>
      </c>
      <c r="G40" s="669">
        <v>6</v>
      </c>
      <c r="H40" s="669">
        <v>8</v>
      </c>
      <c r="I40" s="669">
        <v>7</v>
      </c>
      <c r="J40" s="669">
        <v>7</v>
      </c>
      <c r="K40" s="669"/>
      <c r="L40" s="669"/>
      <c r="M40" s="669"/>
      <c r="N40" s="669"/>
      <c r="O40" s="669"/>
      <c r="P40" s="669"/>
      <c r="Q40" s="669"/>
      <c r="R40" s="669">
        <f>SUM(F40:Q40)</f>
        <v>29</v>
      </c>
      <c r="V40" s="98">
        <f>SUM(F37,X37)</f>
        <v>13</v>
      </c>
      <c r="W40" s="98">
        <f>SUM(G37,Y37)</f>
        <v>24</v>
      </c>
      <c r="X40" s="771">
        <v>20</v>
      </c>
      <c r="Y40" s="771">
        <v>20</v>
      </c>
      <c r="Z40" s="771">
        <v>22</v>
      </c>
      <c r="AA40" s="99"/>
      <c r="AB40" s="99"/>
      <c r="AC40" s="99"/>
      <c r="AD40" s="99"/>
      <c r="AE40" s="99"/>
      <c r="AF40" s="99"/>
      <c r="AG40" s="99"/>
    </row>
    <row r="41" spans="2:38" x14ac:dyDescent="0.2">
      <c r="D41" s="108" t="s">
        <v>322</v>
      </c>
      <c r="F41" s="113">
        <v>1</v>
      </c>
      <c r="G41" s="113">
        <v>2</v>
      </c>
      <c r="H41" s="113">
        <v>1</v>
      </c>
      <c r="I41" s="113">
        <v>3</v>
      </c>
      <c r="J41" s="113">
        <v>1</v>
      </c>
      <c r="K41" s="113"/>
      <c r="L41" s="113"/>
      <c r="M41" s="113"/>
      <c r="N41" s="113"/>
      <c r="O41" s="113"/>
      <c r="P41" s="113"/>
      <c r="Q41" s="113"/>
      <c r="R41" s="669">
        <f t="shared" ref="R41:R43" si="4">SUM(F41:Q41)</f>
        <v>8</v>
      </c>
      <c r="S41" s="98">
        <f>SUM(R40,R41)</f>
        <v>37</v>
      </c>
    </row>
    <row r="42" spans="2:38" x14ac:dyDescent="0.2">
      <c r="D42" s="668" t="s">
        <v>323</v>
      </c>
      <c r="E42" s="117"/>
      <c r="F42" s="669">
        <v>4</v>
      </c>
      <c r="G42" s="669">
        <v>5</v>
      </c>
      <c r="H42" s="669">
        <v>2</v>
      </c>
      <c r="I42" s="669">
        <v>1</v>
      </c>
      <c r="J42" s="669">
        <v>0</v>
      </c>
      <c r="K42" s="669"/>
      <c r="L42" s="669"/>
      <c r="M42" s="669"/>
      <c r="N42" s="669"/>
      <c r="O42" s="669"/>
      <c r="P42" s="669"/>
      <c r="Q42" s="669"/>
      <c r="R42" s="669">
        <f t="shared" si="4"/>
        <v>12</v>
      </c>
    </row>
    <row r="43" spans="2:38" ht="13.5" thickBot="1" x14ac:dyDescent="0.25">
      <c r="D43" s="102" t="s">
        <v>324</v>
      </c>
      <c r="E43" s="101"/>
      <c r="F43" s="113">
        <v>7</v>
      </c>
      <c r="G43" s="113">
        <v>19</v>
      </c>
      <c r="H43" s="113">
        <v>9</v>
      </c>
      <c r="I43" s="113">
        <v>18</v>
      </c>
      <c r="J43" s="113">
        <v>14</v>
      </c>
      <c r="K43" s="113"/>
      <c r="L43" s="113"/>
      <c r="M43" s="113"/>
      <c r="N43" s="113"/>
      <c r="O43" s="113"/>
      <c r="P43" s="113"/>
      <c r="Q43" s="113"/>
      <c r="R43" s="669">
        <f t="shared" si="4"/>
        <v>67</v>
      </c>
      <c r="S43" s="98">
        <f>SUM(R42,R43)</f>
        <v>79</v>
      </c>
    </row>
    <row r="44" spans="2:38" x14ac:dyDescent="0.2">
      <c r="P44" s="98">
        <f>SUM(P40:P43)</f>
        <v>0</v>
      </c>
      <c r="R44" s="98">
        <f>SUM(R40:R43)</f>
        <v>116</v>
      </c>
    </row>
    <row r="46" spans="2:38" x14ac:dyDescent="0.2">
      <c r="AI46" s="99" t="e">
        <f>AVERAGE(V38)</f>
        <v>#DIV/0!</v>
      </c>
      <c r="AJ46" s="98" t="s">
        <v>18</v>
      </c>
    </row>
    <row r="47" spans="2:38" x14ac:dyDescent="0.2">
      <c r="AI47" s="99"/>
    </row>
  </sheetData>
  <sheetProtection selectLockedCells="1"/>
  <sortState xmlns:xlrd2="http://schemas.microsoft.com/office/spreadsheetml/2017/richdata2" ref="AO4:AP24">
    <sortCondition descending="1" ref="AP4:AP24"/>
  </sortState>
  <phoneticPr fontId="47" type="noConversion"/>
  <pageMargins left="0.7" right="0.7" top="0.75" bottom="0.75" header="0.3" footer="0.3"/>
  <pageSetup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AF217-78DC-40C7-A691-62B7615F546A}">
  <dimension ref="A1:Q92"/>
  <sheetViews>
    <sheetView topLeftCell="A18" zoomScale="115" zoomScaleNormal="115" workbookViewId="0">
      <selection activeCell="W11" sqref="W11"/>
    </sheetView>
  </sheetViews>
  <sheetFormatPr defaultRowHeight="15" x14ac:dyDescent="0.25"/>
  <sheetData>
    <row r="1" spans="1:3" x14ac:dyDescent="0.25">
      <c r="A1" t="s">
        <v>321</v>
      </c>
      <c r="C1" s="669">
        <f>'SSO-Site -25 '!R40</f>
        <v>29</v>
      </c>
    </row>
    <row r="2" spans="1:3" x14ac:dyDescent="0.25">
      <c r="A2" t="s">
        <v>322</v>
      </c>
      <c r="C2" s="669">
        <f>'SSO-Site -25 '!R41</f>
        <v>8</v>
      </c>
    </row>
    <row r="3" spans="1:3" x14ac:dyDescent="0.25">
      <c r="A3" t="s">
        <v>323</v>
      </c>
      <c r="C3" s="669">
        <f>'SSO-Site -25 '!R42</f>
        <v>12</v>
      </c>
    </row>
    <row r="4" spans="1:3" x14ac:dyDescent="0.25">
      <c r="A4" t="s">
        <v>324</v>
      </c>
      <c r="C4" s="669">
        <f>'SSO-Site -25 '!R43</f>
        <v>67</v>
      </c>
    </row>
    <row r="5" spans="1:3" x14ac:dyDescent="0.25">
      <c r="C5">
        <f>SUM(C1:C4)</f>
        <v>116</v>
      </c>
    </row>
    <row r="16" spans="1:3" ht="15.75" thickBot="1" x14ac:dyDescent="0.3">
      <c r="A16" s="670" t="s">
        <v>327</v>
      </c>
    </row>
    <row r="17" spans="1:16" ht="15.75" thickBot="1" x14ac:dyDescent="0.3">
      <c r="A17" s="671"/>
      <c r="B17" s="673"/>
      <c r="C17" s="685" t="s">
        <v>60</v>
      </c>
      <c r="D17" s="686" t="s">
        <v>59</v>
      </c>
      <c r="E17" s="686" t="s">
        <v>58</v>
      </c>
      <c r="F17" s="686" t="s">
        <v>57</v>
      </c>
      <c r="G17" s="686" t="s">
        <v>56</v>
      </c>
      <c r="H17" s="686" t="s">
        <v>55</v>
      </c>
      <c r="I17" s="686" t="s">
        <v>54</v>
      </c>
      <c r="J17" s="686" t="s">
        <v>53</v>
      </c>
      <c r="K17" s="686" t="s">
        <v>52</v>
      </c>
      <c r="L17" s="686" t="s">
        <v>51</v>
      </c>
      <c r="M17" s="686" t="s">
        <v>50</v>
      </c>
      <c r="N17" s="686" t="s">
        <v>49</v>
      </c>
      <c r="O17" s="687" t="s">
        <v>148</v>
      </c>
    </row>
    <row r="18" spans="1:16" x14ac:dyDescent="0.25">
      <c r="A18" s="674" t="s">
        <v>321</v>
      </c>
      <c r="B18" s="675"/>
      <c r="C18" s="682" cm="1">
        <f t="array" ref="C18:C21">'SSO-Site -25 '!F40:F43</f>
        <v>1</v>
      </c>
      <c r="D18" s="683" cm="1">
        <f t="array" ref="D18:D21">'SSO-Site -25 '!G40:G43</f>
        <v>6</v>
      </c>
      <c r="E18" s="683">
        <v>8</v>
      </c>
      <c r="F18" s="683">
        <v>7</v>
      </c>
      <c r="G18" s="683">
        <v>7</v>
      </c>
      <c r="H18" s="683"/>
      <c r="I18" s="683"/>
      <c r="J18" s="683"/>
      <c r="K18" s="683"/>
      <c r="L18" s="683"/>
      <c r="M18" s="683"/>
      <c r="N18" s="683"/>
      <c r="O18" s="684">
        <f>SUM(C18:N18)</f>
        <v>29</v>
      </c>
    </row>
    <row r="19" spans="1:16" x14ac:dyDescent="0.25">
      <c r="A19" s="674" t="s">
        <v>322</v>
      </c>
      <c r="B19" s="675"/>
      <c r="C19" s="680">
        <v>1</v>
      </c>
      <c r="D19" s="500">
        <v>2</v>
      </c>
      <c r="E19" s="500">
        <v>1</v>
      </c>
      <c r="F19" s="500">
        <v>3</v>
      </c>
      <c r="G19" s="500">
        <v>1</v>
      </c>
      <c r="H19" s="500"/>
      <c r="I19" s="500"/>
      <c r="J19" s="500"/>
      <c r="K19" s="500"/>
      <c r="L19" s="500"/>
      <c r="M19" s="500"/>
      <c r="N19" s="500"/>
      <c r="O19" s="684">
        <f t="shared" ref="O19:O21" si="0">SUM(C19:N19)</f>
        <v>8</v>
      </c>
      <c r="P19">
        <f>SUM(O18,O19)</f>
        <v>37</v>
      </c>
    </row>
    <row r="20" spans="1:16" x14ac:dyDescent="0.25">
      <c r="A20" s="674" t="s">
        <v>323</v>
      </c>
      <c r="B20" s="675"/>
      <c r="C20" s="680">
        <v>4</v>
      </c>
      <c r="D20" s="500">
        <v>5</v>
      </c>
      <c r="E20" s="500">
        <v>2</v>
      </c>
      <c r="F20" s="500">
        <v>1</v>
      </c>
      <c r="G20" s="500">
        <v>0</v>
      </c>
      <c r="H20" s="500"/>
      <c r="I20" s="500"/>
      <c r="J20" s="500"/>
      <c r="K20" s="500"/>
      <c r="L20" s="500"/>
      <c r="M20" s="500"/>
      <c r="N20" s="500"/>
      <c r="O20" s="684">
        <f t="shared" si="0"/>
        <v>12</v>
      </c>
    </row>
    <row r="21" spans="1:16" ht="15.75" thickBot="1" x14ac:dyDescent="0.3">
      <c r="A21" s="676" t="s">
        <v>324</v>
      </c>
      <c r="B21" s="677"/>
      <c r="C21" s="681">
        <v>7</v>
      </c>
      <c r="D21" s="678">
        <v>19</v>
      </c>
      <c r="E21" s="678">
        <v>9</v>
      </c>
      <c r="F21" s="678">
        <v>18</v>
      </c>
      <c r="G21" s="678">
        <v>14</v>
      </c>
      <c r="H21" s="678"/>
      <c r="I21" s="678"/>
      <c r="J21" s="678"/>
      <c r="K21" s="678"/>
      <c r="L21" s="678"/>
      <c r="M21" s="678"/>
      <c r="N21" s="678"/>
      <c r="O21" s="684">
        <f t="shared" si="0"/>
        <v>67</v>
      </c>
      <c r="P21">
        <f>SUM(O20,O21)</f>
        <v>79</v>
      </c>
    </row>
    <row r="23" spans="1:16" ht="15.75" thickBot="1" x14ac:dyDescent="0.3">
      <c r="A23" s="670" t="s">
        <v>328</v>
      </c>
    </row>
    <row r="24" spans="1:16" ht="15.75" thickBot="1" x14ac:dyDescent="0.3">
      <c r="A24" s="671"/>
      <c r="B24" s="673"/>
      <c r="C24" s="685" t="s">
        <v>60</v>
      </c>
      <c r="D24" s="686" t="s">
        <v>59</v>
      </c>
      <c r="E24" s="686" t="s">
        <v>58</v>
      </c>
      <c r="F24" s="686" t="s">
        <v>57</v>
      </c>
      <c r="G24" s="686" t="s">
        <v>56</v>
      </c>
      <c r="H24" s="686" t="s">
        <v>55</v>
      </c>
      <c r="I24" s="686" t="s">
        <v>54</v>
      </c>
      <c r="J24" s="686" t="s">
        <v>53</v>
      </c>
      <c r="K24" s="686" t="s">
        <v>52</v>
      </c>
      <c r="L24" s="686" t="s">
        <v>51</v>
      </c>
      <c r="M24" s="686" t="s">
        <v>50</v>
      </c>
      <c r="N24" s="687" t="s">
        <v>49</v>
      </c>
    </row>
    <row r="25" spans="1:16" x14ac:dyDescent="0.25">
      <c r="A25" s="674" t="s">
        <v>325</v>
      </c>
      <c r="B25" s="675"/>
      <c r="C25" s="689">
        <v>2</v>
      </c>
      <c r="D25" s="683">
        <v>10</v>
      </c>
      <c r="E25" s="683">
        <v>19</v>
      </c>
      <c r="F25" s="683">
        <v>29</v>
      </c>
      <c r="G25" s="683">
        <v>37</v>
      </c>
      <c r="H25" s="683"/>
      <c r="I25" s="683"/>
      <c r="J25" s="683"/>
      <c r="K25" s="683"/>
      <c r="L25" s="683"/>
      <c r="M25" s="683"/>
      <c r="N25" s="684"/>
    </row>
    <row r="26" spans="1:16" ht="15.75" thickBot="1" x14ac:dyDescent="0.3">
      <c r="A26" s="676" t="s">
        <v>326</v>
      </c>
      <c r="B26" s="677"/>
      <c r="C26" s="688">
        <v>11</v>
      </c>
      <c r="D26" s="678">
        <v>35</v>
      </c>
      <c r="E26" s="678">
        <v>46</v>
      </c>
      <c r="F26" s="678">
        <v>65</v>
      </c>
      <c r="G26" s="678">
        <v>79</v>
      </c>
      <c r="H26" s="678"/>
      <c r="I26" s="678"/>
      <c r="J26" s="678"/>
      <c r="K26" s="678"/>
      <c r="L26" s="678"/>
      <c r="M26" s="678"/>
      <c r="N26" s="679"/>
    </row>
    <row r="43" spans="1:16" ht="15.75" thickBot="1" x14ac:dyDescent="0.3">
      <c r="A43" s="670" t="s">
        <v>326</v>
      </c>
      <c r="B43" s="670"/>
    </row>
    <row r="44" spans="1:16" ht="15.75" thickBot="1" x14ac:dyDescent="0.3">
      <c r="A44" s="685"/>
      <c r="B44" s="686"/>
      <c r="C44" s="686"/>
      <c r="D44" s="686"/>
      <c r="E44" s="672" t="s">
        <v>60</v>
      </c>
      <c r="F44" s="672" t="s">
        <v>59</v>
      </c>
      <c r="G44" s="672" t="s">
        <v>58</v>
      </c>
      <c r="H44" s="672" t="s">
        <v>57</v>
      </c>
      <c r="I44" s="672" t="s">
        <v>56</v>
      </c>
      <c r="J44" s="672" t="s">
        <v>55</v>
      </c>
      <c r="K44" s="672" t="s">
        <v>54</v>
      </c>
      <c r="L44" s="672" t="s">
        <v>53</v>
      </c>
      <c r="M44" s="672" t="s">
        <v>52</v>
      </c>
      <c r="N44" s="672" t="s">
        <v>51</v>
      </c>
      <c r="O44" s="672" t="s">
        <v>50</v>
      </c>
      <c r="P44" s="673" t="s">
        <v>49</v>
      </c>
    </row>
    <row r="45" spans="1:16" x14ac:dyDescent="0.25">
      <c r="A45" s="765" t="s">
        <v>347</v>
      </c>
      <c r="B45" s="672"/>
      <c r="C45" s="672"/>
      <c r="D45" s="672"/>
      <c r="E45" s="478">
        <v>3</v>
      </c>
      <c r="F45" s="487">
        <v>2</v>
      </c>
      <c r="G45" s="478"/>
      <c r="H45" s="478">
        <v>4</v>
      </c>
      <c r="I45" s="478">
        <v>2</v>
      </c>
      <c r="J45" s="478"/>
      <c r="K45" s="478"/>
      <c r="L45" s="478"/>
      <c r="M45" s="478"/>
      <c r="N45" s="478"/>
      <c r="O45" s="478"/>
      <c r="P45" s="478"/>
    </row>
    <row r="46" spans="1:16" x14ac:dyDescent="0.25">
      <c r="A46" s="121" t="s">
        <v>348</v>
      </c>
      <c r="E46" s="478"/>
      <c r="F46" s="478"/>
      <c r="G46" s="478">
        <v>1</v>
      </c>
      <c r="H46" s="478">
        <v>1</v>
      </c>
      <c r="I46" s="478"/>
      <c r="J46" s="478"/>
      <c r="K46" s="478"/>
      <c r="L46" s="478"/>
      <c r="M46" s="478"/>
      <c r="N46" s="478"/>
      <c r="O46" s="478"/>
      <c r="P46" s="478"/>
    </row>
    <row r="47" spans="1:16" x14ac:dyDescent="0.25">
      <c r="A47" s="121" t="s">
        <v>258</v>
      </c>
      <c r="E47" s="478"/>
      <c r="F47" s="487"/>
      <c r="G47" s="478"/>
      <c r="H47" s="478"/>
      <c r="I47" s="478"/>
      <c r="J47" s="478"/>
      <c r="K47" s="478"/>
      <c r="L47" s="478"/>
      <c r="M47" s="478"/>
      <c r="N47" s="478"/>
      <c r="O47" s="478"/>
      <c r="P47" s="478"/>
    </row>
    <row r="48" spans="1:16" x14ac:dyDescent="0.25">
      <c r="A48" s="121" t="s">
        <v>299</v>
      </c>
      <c r="E48" s="478"/>
      <c r="F48" s="478"/>
      <c r="G48" s="478">
        <v>1</v>
      </c>
      <c r="H48" s="478">
        <v>3</v>
      </c>
      <c r="I48" s="478">
        <v>1</v>
      </c>
      <c r="J48" s="478"/>
      <c r="K48" s="478"/>
      <c r="L48" s="478"/>
      <c r="M48" s="478"/>
      <c r="N48" s="478"/>
      <c r="O48" s="478"/>
      <c r="P48" s="478"/>
    </row>
    <row r="49" spans="1:17" x14ac:dyDescent="0.25">
      <c r="A49" s="121" t="s">
        <v>349</v>
      </c>
      <c r="B49" s="98"/>
      <c r="C49" s="98"/>
      <c r="D49" s="98"/>
      <c r="E49" s="478"/>
      <c r="F49" s="487"/>
      <c r="G49" s="478"/>
      <c r="H49" s="478"/>
      <c r="I49" s="478"/>
      <c r="J49" s="478"/>
      <c r="K49" s="478"/>
      <c r="L49" s="478"/>
      <c r="M49" s="478"/>
      <c r="N49" s="478"/>
      <c r="O49" s="478"/>
      <c r="P49" s="478"/>
    </row>
    <row r="50" spans="1:17" x14ac:dyDescent="0.25">
      <c r="A50" s="121" t="s">
        <v>221</v>
      </c>
      <c r="E50" s="478"/>
      <c r="F50" s="478"/>
      <c r="G50" s="478"/>
      <c r="H50" s="478">
        <v>1</v>
      </c>
      <c r="I50" s="478">
        <v>1</v>
      </c>
      <c r="J50" s="478"/>
      <c r="K50" s="478"/>
      <c r="L50" s="478"/>
      <c r="M50" s="478"/>
      <c r="N50" s="478"/>
      <c r="O50" s="478"/>
      <c r="P50" s="478"/>
    </row>
    <row r="51" spans="1:17" x14ac:dyDescent="0.25">
      <c r="A51" s="121" t="s">
        <v>350</v>
      </c>
      <c r="E51" s="478">
        <v>2</v>
      </c>
      <c r="F51" s="487">
        <v>4</v>
      </c>
      <c r="G51" s="478">
        <v>1</v>
      </c>
      <c r="H51" s="478"/>
      <c r="I51" s="478"/>
      <c r="J51" s="478"/>
      <c r="K51" s="478"/>
      <c r="L51" s="478"/>
      <c r="M51" s="478"/>
      <c r="N51" s="478"/>
      <c r="O51" s="478"/>
      <c r="P51" s="478"/>
    </row>
    <row r="52" spans="1:17" x14ac:dyDescent="0.25">
      <c r="A52" s="121" t="s">
        <v>351</v>
      </c>
      <c r="E52" s="478">
        <v>2</v>
      </c>
      <c r="F52" s="478">
        <v>1</v>
      </c>
      <c r="G52" s="478">
        <v>2</v>
      </c>
      <c r="H52" s="478">
        <v>2</v>
      </c>
      <c r="I52" s="478">
        <v>2</v>
      </c>
      <c r="J52" s="478"/>
      <c r="K52" s="478"/>
      <c r="L52" s="478"/>
      <c r="M52" s="478"/>
      <c r="N52" s="478"/>
      <c r="O52" s="478"/>
      <c r="P52" s="478"/>
      <c r="Q52" s="180"/>
    </row>
    <row r="53" spans="1:17" x14ac:dyDescent="0.25">
      <c r="A53" s="121" t="s">
        <v>352</v>
      </c>
      <c r="E53" s="768"/>
      <c r="F53" s="487"/>
      <c r="G53" s="768"/>
      <c r="H53" s="768"/>
      <c r="I53" s="768"/>
      <c r="J53" s="768"/>
      <c r="K53" s="768"/>
      <c r="L53" s="768"/>
      <c r="M53" s="768"/>
      <c r="N53" s="768"/>
      <c r="O53" s="768"/>
      <c r="P53" s="768"/>
    </row>
    <row r="54" spans="1:17" x14ac:dyDescent="0.25">
      <c r="A54" s="121" t="s">
        <v>353</v>
      </c>
      <c r="E54" s="768"/>
      <c r="F54" s="478"/>
      <c r="G54" s="768">
        <v>1</v>
      </c>
      <c r="H54" s="768">
        <v>2</v>
      </c>
      <c r="I54" s="768">
        <v>2</v>
      </c>
      <c r="J54" s="768"/>
      <c r="K54" s="768"/>
      <c r="L54" s="768"/>
      <c r="M54" s="768"/>
      <c r="N54" s="768"/>
      <c r="O54" s="768"/>
      <c r="P54" s="768"/>
    </row>
    <row r="55" spans="1:17" x14ac:dyDescent="0.25">
      <c r="A55" s="121" t="s">
        <v>354</v>
      </c>
      <c r="E55" s="768"/>
      <c r="F55" s="487"/>
      <c r="G55" s="768"/>
      <c r="H55" s="768"/>
      <c r="I55" s="768"/>
      <c r="J55" s="768"/>
      <c r="K55" s="768"/>
      <c r="L55" s="768"/>
      <c r="M55" s="768"/>
      <c r="N55" s="768"/>
      <c r="O55" s="768"/>
      <c r="P55" s="768"/>
    </row>
    <row r="56" spans="1:17" x14ac:dyDescent="0.25">
      <c r="A56" s="121" t="s">
        <v>355</v>
      </c>
      <c r="E56" s="768"/>
      <c r="F56" s="478"/>
      <c r="G56" s="768"/>
      <c r="H56" s="768"/>
      <c r="I56" s="768"/>
      <c r="J56" s="768"/>
      <c r="K56" s="768"/>
      <c r="L56" s="768"/>
      <c r="M56" s="768"/>
      <c r="N56" s="768"/>
      <c r="O56" s="768"/>
      <c r="P56" s="768"/>
    </row>
    <row r="57" spans="1:17" x14ac:dyDescent="0.25">
      <c r="A57" s="121" t="s">
        <v>356</v>
      </c>
      <c r="E57" s="768"/>
      <c r="F57" s="487">
        <v>2</v>
      </c>
      <c r="G57" s="768">
        <v>1</v>
      </c>
      <c r="H57" s="768"/>
      <c r="I57" s="768"/>
      <c r="J57" s="768"/>
      <c r="K57" s="768"/>
      <c r="L57" s="768"/>
      <c r="M57" s="768"/>
      <c r="N57" s="768"/>
      <c r="O57" s="768"/>
      <c r="P57" s="768"/>
    </row>
    <row r="58" spans="1:17" x14ac:dyDescent="0.25">
      <c r="A58" s="121" t="s">
        <v>357</v>
      </c>
      <c r="E58" s="768">
        <v>1</v>
      </c>
      <c r="F58" s="478"/>
      <c r="G58" s="768"/>
      <c r="H58" s="768"/>
      <c r="I58" s="768"/>
      <c r="J58" s="768"/>
      <c r="K58" s="768"/>
      <c r="L58" s="768"/>
      <c r="M58" s="768"/>
      <c r="N58" s="768"/>
      <c r="O58" s="768"/>
      <c r="P58" s="768"/>
    </row>
    <row r="59" spans="1:17" x14ac:dyDescent="0.25">
      <c r="A59" s="121" t="s">
        <v>358</v>
      </c>
      <c r="E59" s="768"/>
      <c r="F59" s="487"/>
      <c r="G59" s="768">
        <v>2</v>
      </c>
      <c r="H59" s="768">
        <v>3</v>
      </c>
      <c r="I59" s="768">
        <v>1</v>
      </c>
      <c r="J59" s="768"/>
      <c r="K59" s="768"/>
      <c r="L59" s="768"/>
      <c r="M59" s="768"/>
      <c r="N59" s="768"/>
      <c r="O59" s="768"/>
      <c r="P59" s="768"/>
    </row>
    <row r="60" spans="1:17" x14ac:dyDescent="0.25">
      <c r="A60" s="121" t="s">
        <v>359</v>
      </c>
      <c r="E60" s="768"/>
      <c r="F60" s="478"/>
      <c r="G60" s="768"/>
      <c r="H60" s="768"/>
      <c r="I60" s="768">
        <v>1</v>
      </c>
      <c r="J60" s="768"/>
      <c r="K60" s="768"/>
      <c r="L60" s="768"/>
      <c r="M60" s="768"/>
      <c r="N60" s="768"/>
      <c r="O60" s="768"/>
      <c r="P60" s="768"/>
    </row>
    <row r="61" spans="1:17" x14ac:dyDescent="0.25">
      <c r="A61" s="121" t="s">
        <v>360</v>
      </c>
      <c r="E61" s="768">
        <v>1</v>
      </c>
      <c r="F61" s="487">
        <v>5</v>
      </c>
      <c r="G61" s="768">
        <v>1</v>
      </c>
      <c r="H61" s="768">
        <v>2</v>
      </c>
      <c r="I61" s="768"/>
      <c r="J61" s="768"/>
      <c r="K61" s="768"/>
      <c r="L61" s="768"/>
      <c r="M61" s="768"/>
      <c r="N61" s="768"/>
      <c r="O61" s="768"/>
      <c r="P61" s="768"/>
    </row>
    <row r="62" spans="1:17" x14ac:dyDescent="0.25">
      <c r="A62" s="121" t="s">
        <v>361</v>
      </c>
      <c r="E62" s="768"/>
      <c r="F62" s="478"/>
      <c r="G62" s="768"/>
      <c r="H62" s="768"/>
      <c r="I62" s="768"/>
      <c r="J62" s="768"/>
      <c r="K62" s="768"/>
      <c r="L62" s="768"/>
      <c r="M62" s="768"/>
      <c r="N62" s="768"/>
      <c r="O62" s="768"/>
      <c r="P62" s="768"/>
    </row>
    <row r="63" spans="1:17" x14ac:dyDescent="0.25">
      <c r="A63" s="121" t="s">
        <v>362</v>
      </c>
      <c r="E63" s="768"/>
      <c r="F63" s="487"/>
      <c r="G63" s="768"/>
      <c r="H63" s="768"/>
      <c r="I63" s="768"/>
      <c r="J63" s="768"/>
      <c r="K63" s="768"/>
      <c r="L63" s="768"/>
      <c r="M63" s="768"/>
      <c r="N63" s="768"/>
      <c r="O63" s="768"/>
      <c r="P63" s="768"/>
    </row>
    <row r="64" spans="1:17" x14ac:dyDescent="0.25">
      <c r="A64" s="121" t="s">
        <v>363</v>
      </c>
      <c r="E64" s="768"/>
      <c r="F64" s="478">
        <v>2</v>
      </c>
      <c r="G64" s="768"/>
      <c r="H64" s="768"/>
      <c r="I64" s="768">
        <v>3</v>
      </c>
      <c r="J64" s="768"/>
      <c r="K64" s="768"/>
      <c r="L64" s="768"/>
      <c r="M64" s="768"/>
      <c r="N64" s="768"/>
      <c r="O64" s="768"/>
      <c r="P64" s="768"/>
    </row>
    <row r="65" spans="1:17" ht="15.75" thickBot="1" x14ac:dyDescent="0.3">
      <c r="A65" s="766" t="s">
        <v>364</v>
      </c>
      <c r="B65" s="690"/>
      <c r="C65" s="690"/>
      <c r="D65" s="690"/>
      <c r="E65" s="768">
        <v>1</v>
      </c>
      <c r="F65" s="487">
        <v>1</v>
      </c>
      <c r="G65" s="768"/>
      <c r="H65" s="768"/>
      <c r="I65" s="768"/>
      <c r="J65" s="768"/>
      <c r="K65" s="768"/>
      <c r="L65" s="768"/>
      <c r="M65" s="768"/>
      <c r="N65" s="768"/>
      <c r="O65" s="768"/>
      <c r="P65" s="768"/>
    </row>
    <row r="70" spans="1:17" ht="15.75" thickBot="1" x14ac:dyDescent="0.3">
      <c r="A70" s="670" t="s">
        <v>329</v>
      </c>
      <c r="B70" s="670"/>
    </row>
    <row r="71" spans="1:17" ht="15.75" thickBot="1" x14ac:dyDescent="0.3">
      <c r="A71" s="685"/>
      <c r="B71" s="686"/>
      <c r="C71" s="686"/>
      <c r="D71" s="687"/>
      <c r="E71" s="672" t="s">
        <v>60</v>
      </c>
      <c r="F71" s="672" t="s">
        <v>59</v>
      </c>
      <c r="G71" s="672" t="s">
        <v>58</v>
      </c>
      <c r="H71" s="672" t="s">
        <v>57</v>
      </c>
      <c r="I71" s="672" t="s">
        <v>56</v>
      </c>
      <c r="J71" s="672" t="s">
        <v>55</v>
      </c>
      <c r="K71" s="672" t="s">
        <v>54</v>
      </c>
      <c r="L71" s="672" t="s">
        <v>53</v>
      </c>
      <c r="M71" s="672" t="s">
        <v>52</v>
      </c>
      <c r="N71" s="672" t="s">
        <v>51</v>
      </c>
      <c r="O71" s="672" t="s">
        <v>50</v>
      </c>
      <c r="P71" s="672" t="s">
        <v>49</v>
      </c>
      <c r="Q71" s="673"/>
    </row>
    <row r="72" spans="1:17" x14ac:dyDescent="0.25">
      <c r="A72" s="121" t="s">
        <v>347</v>
      </c>
      <c r="B72" s="98"/>
      <c r="C72" s="98"/>
      <c r="D72" s="98"/>
      <c r="E72" s="478"/>
      <c r="F72" s="478"/>
      <c r="G72" s="478">
        <v>1</v>
      </c>
      <c r="H72" s="478">
        <v>4</v>
      </c>
      <c r="I72" s="478">
        <v>2</v>
      </c>
      <c r="J72" s="478"/>
      <c r="K72" s="478"/>
      <c r="L72" s="478"/>
      <c r="M72" s="478"/>
      <c r="N72" s="478"/>
      <c r="O72" s="478"/>
      <c r="P72" s="478"/>
      <c r="Q72" s="500"/>
    </row>
    <row r="73" spans="1:17" x14ac:dyDescent="0.25">
      <c r="A73" s="121" t="s">
        <v>348</v>
      </c>
      <c r="B73" s="98"/>
      <c r="C73" s="98"/>
      <c r="D73" s="98"/>
      <c r="E73" s="478"/>
      <c r="F73" s="478"/>
      <c r="G73" s="478"/>
      <c r="H73" s="478">
        <v>1</v>
      </c>
      <c r="I73" s="478"/>
      <c r="J73" s="478"/>
      <c r="K73" s="478"/>
      <c r="L73" s="478"/>
      <c r="M73" s="478"/>
      <c r="N73" s="478"/>
      <c r="O73" s="478"/>
      <c r="P73" s="478"/>
      <c r="Q73" s="500"/>
    </row>
    <row r="74" spans="1:17" x14ac:dyDescent="0.25">
      <c r="A74" s="121" t="s">
        <v>258</v>
      </c>
      <c r="B74" s="98"/>
      <c r="C74" s="98"/>
      <c r="D74" s="98"/>
      <c r="E74" s="478"/>
      <c r="F74" s="478"/>
      <c r="G74" s="478"/>
      <c r="H74" s="478"/>
      <c r="I74" s="478"/>
      <c r="J74" s="478"/>
      <c r="K74" s="478"/>
      <c r="L74" s="478"/>
      <c r="M74" s="478"/>
      <c r="N74" s="478"/>
      <c r="O74" s="478"/>
      <c r="P74" s="478"/>
      <c r="Q74" s="500"/>
    </row>
    <row r="75" spans="1:17" x14ac:dyDescent="0.25">
      <c r="A75" s="121" t="s">
        <v>299</v>
      </c>
      <c r="B75" s="98"/>
      <c r="C75" s="98"/>
      <c r="D75" s="98"/>
      <c r="E75" s="478"/>
      <c r="F75" s="478"/>
      <c r="G75" s="478"/>
      <c r="H75" s="478">
        <v>3</v>
      </c>
      <c r="I75" s="478">
        <v>1</v>
      </c>
      <c r="J75" s="478"/>
      <c r="K75" s="478"/>
      <c r="L75" s="478"/>
      <c r="M75" s="478"/>
      <c r="N75" s="478"/>
      <c r="O75" s="478"/>
      <c r="P75" s="478"/>
      <c r="Q75" s="500"/>
    </row>
    <row r="76" spans="1:17" x14ac:dyDescent="0.25">
      <c r="A76" s="121" t="s">
        <v>349</v>
      </c>
      <c r="B76" s="98"/>
      <c r="C76" s="98"/>
      <c r="D76" s="98"/>
      <c r="E76" s="478"/>
      <c r="F76" s="478"/>
      <c r="G76" s="478"/>
      <c r="H76" s="478"/>
      <c r="I76" s="478"/>
      <c r="J76" s="478"/>
      <c r="K76" s="478"/>
      <c r="L76" s="478"/>
      <c r="M76" s="478"/>
      <c r="N76" s="478"/>
      <c r="O76" s="478"/>
      <c r="P76" s="478"/>
      <c r="Q76" s="500"/>
    </row>
    <row r="77" spans="1:17" x14ac:dyDescent="0.25">
      <c r="A77" s="121" t="s">
        <v>221</v>
      </c>
      <c r="B77" s="98"/>
      <c r="C77" s="98"/>
      <c r="D77" s="98"/>
      <c r="E77" s="478"/>
      <c r="F77" s="478"/>
      <c r="G77" s="478"/>
      <c r="H77" s="478">
        <v>1</v>
      </c>
      <c r="I77" s="478">
        <v>1</v>
      </c>
      <c r="J77" s="478"/>
      <c r="K77" s="478"/>
      <c r="L77" s="478"/>
      <c r="M77" s="478"/>
      <c r="N77" s="478"/>
      <c r="O77" s="478"/>
      <c r="P77" s="478"/>
      <c r="Q77" s="500"/>
    </row>
    <row r="78" spans="1:17" x14ac:dyDescent="0.25">
      <c r="A78" s="121" t="s">
        <v>350</v>
      </c>
      <c r="B78" s="98"/>
      <c r="C78" s="98"/>
      <c r="D78" s="98"/>
      <c r="E78" s="478"/>
      <c r="F78" s="478">
        <v>2</v>
      </c>
      <c r="G78" s="478">
        <v>4</v>
      </c>
      <c r="H78" s="478"/>
      <c r="I78" s="478"/>
      <c r="J78" s="478"/>
      <c r="K78" s="478"/>
      <c r="L78" s="478"/>
      <c r="M78" s="478"/>
      <c r="N78" s="478"/>
      <c r="O78" s="478"/>
      <c r="P78" s="478"/>
      <c r="Q78" s="500"/>
    </row>
    <row r="79" spans="1:17" x14ac:dyDescent="0.25">
      <c r="A79" s="121" t="s">
        <v>351</v>
      </c>
      <c r="E79" s="768"/>
      <c r="F79" s="768">
        <v>1</v>
      </c>
      <c r="G79" s="768">
        <v>4</v>
      </c>
      <c r="H79" s="768">
        <v>2</v>
      </c>
      <c r="I79" s="768">
        <v>2</v>
      </c>
      <c r="J79" s="768"/>
      <c r="K79" s="768"/>
      <c r="L79" s="768"/>
      <c r="M79" s="768"/>
      <c r="N79" s="768"/>
      <c r="O79" s="768"/>
      <c r="P79" s="768"/>
      <c r="Q79" s="500"/>
    </row>
    <row r="80" spans="1:17" x14ac:dyDescent="0.25">
      <c r="A80" s="121" t="s">
        <v>352</v>
      </c>
      <c r="E80" s="768"/>
      <c r="F80" s="768"/>
      <c r="G80" s="768"/>
      <c r="H80" s="768"/>
      <c r="I80" s="768"/>
      <c r="J80" s="768"/>
      <c r="K80" s="768"/>
      <c r="L80" s="768"/>
      <c r="M80" s="768"/>
      <c r="N80" s="768"/>
      <c r="O80" s="768"/>
      <c r="P80" s="768"/>
      <c r="Q80" s="500"/>
    </row>
    <row r="81" spans="1:17" x14ac:dyDescent="0.25">
      <c r="A81" s="121" t="s">
        <v>353</v>
      </c>
      <c r="E81" s="768"/>
      <c r="F81" s="768"/>
      <c r="G81" s="768"/>
      <c r="H81" s="768">
        <v>2</v>
      </c>
      <c r="I81" s="768">
        <v>2</v>
      </c>
      <c r="J81" s="768"/>
      <c r="K81" s="768"/>
      <c r="L81" s="768"/>
      <c r="M81" s="768"/>
      <c r="N81" s="768"/>
      <c r="O81" s="768"/>
      <c r="P81" s="768"/>
      <c r="Q81" s="500"/>
    </row>
    <row r="82" spans="1:17" x14ac:dyDescent="0.25">
      <c r="A82" s="121" t="s">
        <v>354</v>
      </c>
      <c r="E82" s="768">
        <v>2</v>
      </c>
      <c r="F82" s="768">
        <v>2</v>
      </c>
      <c r="G82" s="768"/>
      <c r="H82" s="768"/>
      <c r="I82" s="768"/>
      <c r="J82" s="768"/>
      <c r="K82" s="768"/>
      <c r="L82" s="768"/>
      <c r="M82" s="768"/>
      <c r="N82" s="768"/>
      <c r="O82" s="768"/>
      <c r="P82" s="768"/>
      <c r="Q82" s="500"/>
    </row>
    <row r="83" spans="1:17" x14ac:dyDescent="0.25">
      <c r="A83" s="121" t="s">
        <v>355</v>
      </c>
      <c r="E83" s="768"/>
      <c r="F83" s="768"/>
      <c r="G83" s="768"/>
      <c r="H83" s="768"/>
      <c r="I83" s="768"/>
      <c r="J83" s="768"/>
      <c r="K83" s="768"/>
      <c r="L83" s="768"/>
      <c r="M83" s="768"/>
      <c r="N83" s="768"/>
      <c r="O83" s="768"/>
      <c r="P83" s="768"/>
      <c r="Q83" s="500"/>
    </row>
    <row r="84" spans="1:17" x14ac:dyDescent="0.25">
      <c r="A84" s="121" t="s">
        <v>356</v>
      </c>
      <c r="E84" s="768"/>
      <c r="F84" s="768">
        <v>2</v>
      </c>
      <c r="G84" s="768">
        <v>1</v>
      </c>
      <c r="H84" s="768"/>
      <c r="I84" s="768"/>
      <c r="J84" s="768"/>
      <c r="K84" s="768"/>
      <c r="L84" s="768"/>
      <c r="M84" s="768"/>
      <c r="N84" s="768"/>
      <c r="O84" s="768"/>
      <c r="P84" s="768"/>
      <c r="Q84" s="500"/>
    </row>
    <row r="85" spans="1:17" x14ac:dyDescent="0.25">
      <c r="A85" s="121" t="s">
        <v>357</v>
      </c>
      <c r="E85" s="768"/>
      <c r="F85" s="768"/>
      <c r="G85" s="768"/>
      <c r="H85" s="768"/>
      <c r="I85" s="768"/>
      <c r="J85" s="768"/>
      <c r="K85" s="768"/>
      <c r="L85" s="768"/>
      <c r="M85" s="768"/>
      <c r="N85" s="768"/>
      <c r="O85" s="768"/>
      <c r="P85" s="768"/>
      <c r="Q85" s="500"/>
    </row>
    <row r="86" spans="1:17" x14ac:dyDescent="0.25">
      <c r="A86" s="121" t="s">
        <v>358</v>
      </c>
      <c r="E86" s="768"/>
      <c r="F86" s="768"/>
      <c r="G86" s="768"/>
      <c r="H86" s="768">
        <v>3</v>
      </c>
      <c r="I86" s="768">
        <v>1</v>
      </c>
      <c r="J86" s="768"/>
      <c r="K86" s="768"/>
      <c r="L86" s="768"/>
      <c r="M86" s="768"/>
      <c r="N86" s="768"/>
      <c r="O86" s="768"/>
      <c r="P86" s="768"/>
      <c r="Q86" s="500"/>
    </row>
    <row r="87" spans="1:17" x14ac:dyDescent="0.25">
      <c r="A87" s="121" t="s">
        <v>359</v>
      </c>
      <c r="E87" s="768"/>
      <c r="F87" s="768"/>
      <c r="G87" s="768"/>
      <c r="H87" s="768"/>
      <c r="I87" s="768">
        <v>1</v>
      </c>
      <c r="J87" s="768"/>
      <c r="K87" s="768"/>
      <c r="L87" s="768"/>
      <c r="M87" s="768"/>
      <c r="N87" s="768"/>
      <c r="O87" s="768"/>
      <c r="P87" s="768"/>
      <c r="Q87" s="500"/>
    </row>
    <row r="88" spans="1:17" x14ac:dyDescent="0.25">
      <c r="A88" s="121" t="s">
        <v>360</v>
      </c>
      <c r="E88" s="768"/>
      <c r="F88" s="768"/>
      <c r="G88" s="768"/>
      <c r="H88" s="768">
        <v>2</v>
      </c>
      <c r="I88" s="768"/>
      <c r="J88" s="768"/>
      <c r="K88" s="768"/>
      <c r="L88" s="768"/>
      <c r="M88" s="768"/>
      <c r="N88" s="768"/>
      <c r="O88" s="768"/>
      <c r="P88" s="768"/>
      <c r="Q88" s="500"/>
    </row>
    <row r="89" spans="1:17" x14ac:dyDescent="0.25">
      <c r="A89" s="121" t="s">
        <v>361</v>
      </c>
      <c r="E89" s="768"/>
      <c r="F89" s="768"/>
      <c r="G89" s="768"/>
      <c r="H89" s="768"/>
      <c r="I89" s="768"/>
      <c r="J89" s="768"/>
      <c r="K89" s="768"/>
      <c r="L89" s="768"/>
      <c r="M89" s="768"/>
      <c r="N89" s="768"/>
      <c r="O89" s="768"/>
      <c r="P89" s="768"/>
      <c r="Q89" s="500"/>
    </row>
    <row r="90" spans="1:17" x14ac:dyDescent="0.25">
      <c r="A90" s="121" t="s">
        <v>362</v>
      </c>
      <c r="E90" s="768"/>
      <c r="F90" s="768"/>
      <c r="G90" s="768"/>
      <c r="H90" s="768"/>
      <c r="I90" s="768"/>
      <c r="J90" s="768"/>
      <c r="K90" s="768"/>
      <c r="L90" s="768"/>
      <c r="M90" s="768"/>
      <c r="N90" s="768"/>
      <c r="O90" s="768"/>
      <c r="P90" s="768"/>
      <c r="Q90" s="500"/>
    </row>
    <row r="91" spans="1:17" x14ac:dyDescent="0.25">
      <c r="A91" s="121" t="s">
        <v>363</v>
      </c>
      <c r="E91" s="768"/>
      <c r="F91" s="768"/>
      <c r="G91" s="768">
        <v>1</v>
      </c>
      <c r="H91" s="768"/>
      <c r="I91" s="768">
        <v>3</v>
      </c>
      <c r="J91" s="768"/>
      <c r="K91" s="768"/>
      <c r="L91" s="768"/>
      <c r="M91" s="768"/>
      <c r="N91" s="768"/>
      <c r="O91" s="768"/>
      <c r="P91" s="768"/>
      <c r="Q91" s="500"/>
    </row>
    <row r="92" spans="1:17" ht="15.75" thickBot="1" x14ac:dyDescent="0.3">
      <c r="A92" s="766" t="s">
        <v>364</v>
      </c>
      <c r="B92" s="690"/>
      <c r="C92" s="690"/>
      <c r="D92" s="690"/>
      <c r="E92" s="768"/>
      <c r="F92" s="768"/>
      <c r="G92" s="768"/>
      <c r="H92" s="768"/>
      <c r="I92" s="768"/>
      <c r="J92" s="768"/>
      <c r="K92" s="768"/>
      <c r="L92" s="768"/>
      <c r="M92" s="768"/>
      <c r="N92" s="768"/>
      <c r="O92" s="768"/>
      <c r="P92" s="768"/>
      <c r="Q92" s="500"/>
    </row>
  </sheetData>
  <phoneticPr fontId="47" type="noConversion"/>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7400E-060F-467F-8948-7AA386AF60DE}">
  <dimension ref="G7:Z20"/>
  <sheetViews>
    <sheetView topLeftCell="B7" zoomScale="85" zoomScaleNormal="85" workbookViewId="0">
      <selection activeCell="R12" sqref="R12"/>
    </sheetView>
  </sheetViews>
  <sheetFormatPr defaultRowHeight="15" x14ac:dyDescent="0.25"/>
  <cols>
    <col min="7" max="7" width="12.5703125" customWidth="1"/>
    <col min="11" max="11" width="10.140625" bestFit="1" customWidth="1"/>
    <col min="18" max="18" width="10.140625" bestFit="1" customWidth="1"/>
    <col min="22" max="22" width="10.140625" bestFit="1" customWidth="1"/>
  </cols>
  <sheetData>
    <row r="7" spans="7:26" x14ac:dyDescent="0.25">
      <c r="H7">
        <v>2021</v>
      </c>
      <c r="I7">
        <v>2022</v>
      </c>
      <c r="J7">
        <v>2023</v>
      </c>
      <c r="K7">
        <v>2024</v>
      </c>
      <c r="L7">
        <v>2025</v>
      </c>
      <c r="M7">
        <v>2026</v>
      </c>
    </row>
    <row r="8" spans="7:26" x14ac:dyDescent="0.25">
      <c r="G8" t="s">
        <v>330</v>
      </c>
      <c r="H8">
        <v>1</v>
      </c>
      <c r="I8">
        <v>3</v>
      </c>
      <c r="J8">
        <v>1</v>
      </c>
      <c r="K8">
        <v>1</v>
      </c>
      <c r="L8">
        <v>0</v>
      </c>
      <c r="M8">
        <v>1</v>
      </c>
    </row>
    <row r="9" spans="7:26" x14ac:dyDescent="0.25">
      <c r="G9" t="s">
        <v>198</v>
      </c>
      <c r="L9">
        <v>41</v>
      </c>
      <c r="M9">
        <f>'Incident Data'!N7</f>
        <v>41</v>
      </c>
    </row>
    <row r="15" spans="7:26" x14ac:dyDescent="0.25">
      <c r="G15" t="s">
        <v>373</v>
      </c>
      <c r="H15" s="758">
        <v>172301</v>
      </c>
      <c r="I15" s="758">
        <v>176350</v>
      </c>
      <c r="J15" s="758">
        <v>168563</v>
      </c>
      <c r="K15" s="758">
        <v>174706</v>
      </c>
      <c r="L15" s="758">
        <v>191751</v>
      </c>
      <c r="M15" s="758">
        <f>Rates!M42</f>
        <v>145194</v>
      </c>
      <c r="N15" s="758"/>
      <c r="O15" s="758"/>
      <c r="P15" s="758"/>
      <c r="Q15" s="758"/>
      <c r="R15" s="758"/>
      <c r="S15" s="758"/>
      <c r="T15" s="758"/>
      <c r="U15" s="758"/>
      <c r="V15" s="758"/>
      <c r="W15" s="758"/>
      <c r="Y15" s="758"/>
      <c r="Z15" s="758"/>
    </row>
    <row r="16" spans="7:26" x14ac:dyDescent="0.25">
      <c r="H16" s="758"/>
      <c r="I16" s="758"/>
      <c r="J16" s="758"/>
      <c r="K16" s="758"/>
      <c r="L16" s="758"/>
      <c r="M16" s="758"/>
      <c r="N16" s="758"/>
      <c r="O16" s="758"/>
      <c r="P16" s="758"/>
      <c r="Q16" s="758"/>
      <c r="R16" s="758"/>
      <c r="S16" s="758"/>
      <c r="T16" s="758"/>
      <c r="U16" s="758"/>
      <c r="V16" s="758"/>
      <c r="W16" s="758"/>
      <c r="Y16" s="758"/>
      <c r="Z16" s="758"/>
    </row>
    <row r="17" spans="7:26" x14ac:dyDescent="0.25">
      <c r="G17" t="s">
        <v>395</v>
      </c>
      <c r="L17" s="759">
        <f>L9*200000/L15</f>
        <v>42.76379262689634</v>
      </c>
      <c r="M17" s="759">
        <f>M9*200000/M15</f>
        <v>56.476162926842704</v>
      </c>
    </row>
    <row r="18" spans="7:26" x14ac:dyDescent="0.25">
      <c r="G18" t="s">
        <v>372</v>
      </c>
      <c r="H18" s="452">
        <v>1.1599999999999999</v>
      </c>
      <c r="I18" s="452">
        <v>3.4</v>
      </c>
      <c r="J18" s="452">
        <v>1.19</v>
      </c>
      <c r="K18" s="452">
        <v>1.1399999999999999</v>
      </c>
      <c r="L18" s="452">
        <f>L8*200000/L15</f>
        <v>0</v>
      </c>
      <c r="M18" s="452">
        <f>M8*200000/M15</f>
        <v>1.3774673884595783</v>
      </c>
      <c r="N18" s="452"/>
      <c r="O18" s="452"/>
      <c r="P18" s="452"/>
      <c r="Q18" s="452"/>
      <c r="R18" s="452"/>
      <c r="S18" s="452"/>
      <c r="T18" s="452"/>
      <c r="U18" s="452"/>
      <c r="V18" s="452"/>
      <c r="W18" s="452"/>
      <c r="X18" s="452"/>
      <c r="Y18" s="452"/>
    </row>
    <row r="19" spans="7:26" x14ac:dyDescent="0.25">
      <c r="G19" t="s">
        <v>371</v>
      </c>
      <c r="H19">
        <v>2.7</v>
      </c>
      <c r="I19">
        <v>1.9</v>
      </c>
      <c r="J19">
        <v>1.9</v>
      </c>
      <c r="K19">
        <v>1.9</v>
      </c>
      <c r="L19">
        <v>1.9</v>
      </c>
      <c r="M19">
        <v>1.9</v>
      </c>
      <c r="X19" s="759"/>
    </row>
    <row r="20" spans="7:26" x14ac:dyDescent="0.25">
      <c r="H20" s="452"/>
      <c r="I20" s="452"/>
      <c r="J20" s="452"/>
      <c r="K20" s="452"/>
      <c r="L20" s="452"/>
      <c r="M20" s="452"/>
      <c r="N20" s="452"/>
      <c r="O20" s="452"/>
      <c r="P20" s="452"/>
      <c r="Q20" s="452"/>
      <c r="R20" s="452"/>
      <c r="S20" s="452"/>
      <c r="T20" s="452"/>
      <c r="U20" s="452"/>
      <c r="V20" s="452"/>
      <c r="W20" s="452"/>
      <c r="X20" s="452"/>
      <c r="Y20" s="452"/>
      <c r="Z20" s="452"/>
    </row>
  </sheetData>
  <phoneticPr fontId="47" type="noConversion"/>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AABB0-FA73-4183-B442-C5707F057FA8}">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2</vt:i4>
      </vt:variant>
    </vt:vector>
  </HeadingPairs>
  <TitlesOfParts>
    <vt:vector size="16" baseType="lpstr">
      <vt:lpstr>PA Metrics Site</vt:lpstr>
      <vt:lpstr>Rates</vt:lpstr>
      <vt:lpstr>Dash</vt:lpstr>
      <vt:lpstr>SSC-Site -21</vt:lpstr>
      <vt:lpstr>Area Data</vt:lpstr>
      <vt:lpstr>Incident Data</vt:lpstr>
      <vt:lpstr>Behavior</vt:lpstr>
      <vt:lpstr>Rolling</vt:lpstr>
      <vt:lpstr>ENV </vt:lpstr>
      <vt:lpstr>Safety Observation Dash</vt:lpstr>
      <vt:lpstr>SSO-Site -25 </vt:lpstr>
      <vt:lpstr>PPT Work</vt:lpstr>
      <vt:lpstr>TRIR EXP.</vt:lpstr>
      <vt:lpstr>Sheet2</vt:lpstr>
      <vt:lpstr>Dash!Print_Area</vt:lpstr>
      <vt:lpstr>'PA Metrics Site'!Print_Area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Brandon, Kenneth</dc:creator>
  <cp:lastModifiedBy>Bobby Fitzgerald</cp:lastModifiedBy>
  <cp:lastPrinted>2023-11-30T15:08:56Z</cp:lastPrinted>
  <dcterms:created xsi:type="dcterms:W3CDTF">2020-11-02T19:51:14Z</dcterms:created>
  <dcterms:modified xsi:type="dcterms:W3CDTF">2026-10-06T14:16:24Z</dcterms:modified>
</cp:coreProperties>
</file>