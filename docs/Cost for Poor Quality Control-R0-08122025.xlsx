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F5424A98-7B3B-4D4C-A7E0-3050DF8315C8}" xr6:coauthVersionLast="47" xr6:coauthVersionMax="47" xr10:uidLastSave="{00000000-0000-0000-0000-000000000000}"/>
  <bookViews>
    <workbookView xWindow="-120" yWindow="-120" windowWidth="29040" windowHeight="15720" xr2:uid="{188EEF69-1487-4670-89F1-A7C794E9FB19}"/>
  </bookViews>
  <sheets>
    <sheet name="Summary" sheetId="6" r:id="rId1"/>
    <sheet name="Downtime" sheetId="1" r:id="rId2"/>
    <sheet name="Lower Production" sheetId="7" r:id="rId3"/>
    <sheet name="Scrap" sheetId="2" r:id="rId4"/>
    <sheet name="Cgrade" sheetId="3" r:id="rId5"/>
    <sheet name="Rework" sheetId="4" r:id="rId6"/>
    <sheet name="Repack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6" l="1"/>
  <c r="B12" i="5"/>
  <c r="B11" i="5"/>
  <c r="B10" i="5"/>
  <c r="B9" i="5"/>
  <c r="B8" i="5"/>
  <c r="B7" i="5"/>
  <c r="B3" i="5"/>
  <c r="B5" i="5"/>
  <c r="B4" i="5"/>
  <c r="B13" i="5" s="1"/>
  <c r="B15" i="4"/>
  <c r="B14" i="4"/>
  <c r="B13" i="4"/>
  <c r="B11" i="4"/>
  <c r="B10" i="4"/>
  <c r="B8" i="4"/>
  <c r="B7" i="4"/>
  <c r="B6" i="4"/>
  <c r="B4" i="4"/>
  <c r="B3" i="3"/>
  <c r="B3" i="2"/>
  <c r="B5" i="7"/>
  <c r="B4" i="7"/>
  <c r="B3" i="7"/>
  <c r="B4" i="1"/>
  <c r="B3" i="1"/>
  <c r="B9" i="6"/>
  <c r="B37" i="6" s="1"/>
  <c r="B8" i="6"/>
  <c r="B23" i="6" s="1"/>
  <c r="B4" i="6"/>
  <c r="B16" i="6" s="1"/>
  <c r="B6" i="6"/>
  <c r="B19" i="6" s="1"/>
  <c r="B5" i="6"/>
  <c r="B18" i="6" s="1"/>
  <c r="B7" i="6"/>
  <c r="B20" i="6" s="1"/>
  <c r="C35" i="4"/>
  <c r="B15" i="5" l="1"/>
  <c r="B14" i="5"/>
  <c r="B16" i="5" s="1"/>
  <c r="B30" i="6"/>
  <c r="B27" i="6"/>
  <c r="B28" i="6"/>
  <c r="B29" i="6"/>
  <c r="B38" i="6"/>
  <c r="B39" i="6"/>
  <c r="B36" i="6"/>
  <c r="B31" i="6"/>
  <c r="B32" i="6"/>
  <c r="B34" i="6"/>
  <c r="B35" i="6"/>
  <c r="B25" i="6"/>
  <c r="B24" i="6"/>
  <c r="B21" i="6"/>
  <c r="B22" i="6"/>
  <c r="B17" i="6"/>
  <c r="B15" i="6"/>
  <c r="C34" i="4"/>
  <c r="C36" i="4" s="1"/>
  <c r="D8" i="4"/>
  <c r="C26" i="4"/>
  <c r="B9" i="4"/>
  <c r="C30" i="4" s="1"/>
  <c r="C18" i="4"/>
  <c r="C21" i="4" s="1"/>
  <c r="C28" i="4" l="1"/>
  <c r="C31" i="4" s="1"/>
  <c r="C39" i="4" s="1"/>
  <c r="C22" i="4"/>
  <c r="C25" i="4" s="1"/>
  <c r="B5" i="4"/>
  <c r="B6" i="3" l="1"/>
  <c r="B6" i="2"/>
  <c r="B6" i="7"/>
  <c r="B9" i="7" s="1"/>
  <c r="B6" i="1"/>
  <c r="B8" i="1" s="1"/>
  <c r="B9" i="1" s="1"/>
  <c r="B7" i="7" l="1"/>
  <c r="B11" i="7" s="1"/>
  <c r="B12" i="7" s="1"/>
</calcChain>
</file>

<file path=xl/sharedStrings.xml><?xml version="1.0" encoding="utf-8"?>
<sst xmlns="http://schemas.openxmlformats.org/spreadsheetml/2006/main" count="259" uniqueCount="144">
  <si>
    <t>hrs</t>
  </si>
  <si>
    <t>Total downtime in this event</t>
  </si>
  <si>
    <t>The downtime is based on finishing lines</t>
  </si>
  <si>
    <t>Fixed cost</t>
  </si>
  <si>
    <t>kUSD/Day</t>
  </si>
  <si>
    <t>Loss from gross margin</t>
  </si>
  <si>
    <t>Nameplate</t>
  </si>
  <si>
    <t>3411C</t>
  </si>
  <si>
    <t>Products</t>
  </si>
  <si>
    <t>Production (MT/d)</t>
  </si>
  <si>
    <t>Standard rate</t>
  </si>
  <si>
    <t>MT/D</t>
  </si>
  <si>
    <t>Gross margin</t>
  </si>
  <si>
    <t>USD/MT</t>
  </si>
  <si>
    <t>USD</t>
  </si>
  <si>
    <t>Total loss</t>
  </si>
  <si>
    <t>kUSD</t>
  </si>
  <si>
    <t>The flow rate after blending tank</t>
  </si>
  <si>
    <t>SP-40121</t>
  </si>
  <si>
    <t>lb/h</t>
  </si>
  <si>
    <t>The equivalent downtime</t>
  </si>
  <si>
    <t>Hours for lower production</t>
  </si>
  <si>
    <t>The equipment standard rate</t>
  </si>
  <si>
    <t>MT/d</t>
  </si>
  <si>
    <t>Hous to lower SP-40121</t>
  </si>
  <si>
    <t>Remark</t>
  </si>
  <si>
    <t>The total amount of Scrap</t>
  </si>
  <si>
    <t>lb</t>
  </si>
  <si>
    <t>Scrap was produced due to this incident</t>
  </si>
  <si>
    <t>Average Scrap Price</t>
  </si>
  <si>
    <t>USD/lb</t>
  </si>
  <si>
    <t>Average Prime Product Price</t>
  </si>
  <si>
    <t>The lost from extra scrap</t>
  </si>
  <si>
    <t>The Money loss for Lower Porduction</t>
  </si>
  <si>
    <t>The Money Loss Due to Downtime</t>
  </si>
  <si>
    <t>The Money Loss Due to Scrap</t>
  </si>
  <si>
    <t>Average Off-Spec Product Price</t>
  </si>
  <si>
    <t>The Money Loss Due to Reworking</t>
  </si>
  <si>
    <t>C grade products were produced due to this incident</t>
  </si>
  <si>
    <t>Quantities need to be reworked</t>
  </si>
  <si>
    <t>lbs</t>
  </si>
  <si>
    <t>Unit steam consumption for reworking</t>
  </si>
  <si>
    <t>lb/lb</t>
  </si>
  <si>
    <t>Unit power consumption for reworking</t>
  </si>
  <si>
    <t>kw/lb</t>
  </si>
  <si>
    <t>Steam for rework</t>
  </si>
  <si>
    <t>Power for rework</t>
  </si>
  <si>
    <t>kw</t>
  </si>
  <si>
    <t>Electricity unit cost</t>
  </si>
  <si>
    <t>USD/kw</t>
  </si>
  <si>
    <t>Steam price</t>
  </si>
  <si>
    <t>USD/klb</t>
  </si>
  <si>
    <t>Operation cost for reworking</t>
  </si>
  <si>
    <t>USD/piece</t>
  </si>
  <si>
    <t>The loss for packaging</t>
  </si>
  <si>
    <t>Assume: We don't bring extra people for rework, so no additional cost for labor.</t>
  </si>
  <si>
    <t>No</t>
  </si>
  <si>
    <t>Yes</t>
  </si>
  <si>
    <t>-</t>
  </si>
  <si>
    <t>Total Quantity for Reworking</t>
  </si>
  <si>
    <t>Rework from which packages</t>
  </si>
  <si>
    <t>Bags</t>
  </si>
  <si>
    <t>Quantity in the package unit</t>
  </si>
  <si>
    <t>lb/piece</t>
  </si>
  <si>
    <t>lbs/bag, lbs/box or lbs/supersack (per supersack not per pallet).</t>
  </si>
  <si>
    <t>Operation Loss</t>
  </si>
  <si>
    <t>Production reduced due to reworking</t>
  </si>
  <si>
    <t>This is equal to reworking rate in the normal case</t>
  </si>
  <si>
    <t>Production Rate Reduction</t>
  </si>
  <si>
    <t>Reworking time</t>
  </si>
  <si>
    <t>Reworking Rate</t>
  </si>
  <si>
    <t>Will it cause lower production rate</t>
  </si>
  <si>
    <t>Fixed cost write-off</t>
  </si>
  <si>
    <t>Bag</t>
  </si>
  <si>
    <t>Packaging prices</t>
  </si>
  <si>
    <t>Box</t>
  </si>
  <si>
    <t>Supersack</t>
  </si>
  <si>
    <t>Packaging Loss</t>
  </si>
  <si>
    <t>Unit price</t>
  </si>
  <si>
    <t>Load in each package</t>
  </si>
  <si>
    <t>lbs/piece</t>
  </si>
  <si>
    <t>Total Loss</t>
  </si>
  <si>
    <t>Total Loss (operation cost and packaging cost)</t>
  </si>
  <si>
    <t>Total Quantity for Repacking</t>
  </si>
  <si>
    <t>The original  package</t>
  </si>
  <si>
    <t>Extra coverage</t>
  </si>
  <si>
    <t>persons</t>
  </si>
  <si>
    <t>Overtime hours</t>
  </si>
  <si>
    <t>hours</t>
  </si>
  <si>
    <t>Estimated average payrate</t>
  </si>
  <si>
    <t>USD/hour</t>
  </si>
  <si>
    <t>Cost for packaging</t>
  </si>
  <si>
    <t>Cost for Overtime</t>
  </si>
  <si>
    <t>Total cost</t>
  </si>
  <si>
    <t>1. Please select the consequence due to this incident</t>
  </si>
  <si>
    <t>Downtime</t>
  </si>
  <si>
    <t>YES</t>
  </si>
  <si>
    <t>Lower Porduction Rate</t>
  </si>
  <si>
    <t>*Shut down one line or two lines in the finishing area</t>
  </si>
  <si>
    <t>*Reduce the polymer rate SP40121. If polymer rate reduction is due to downtime, no need to input here.</t>
  </si>
  <si>
    <t>NO</t>
  </si>
  <si>
    <t>Scrap was produced due to this incident.</t>
  </si>
  <si>
    <t>*Products need to be reworked due to this incident.</t>
  </si>
  <si>
    <t>*Products need to be repacked due to this incident.</t>
  </si>
  <si>
    <r>
      <t xml:space="preserve">More </t>
    </r>
    <r>
      <rPr>
        <b/>
        <sz val="11"/>
        <color rgb="FFC00000"/>
        <rFont val="Arial"/>
        <family val="2"/>
      </rPr>
      <t>Scrap</t>
    </r>
  </si>
  <si>
    <r>
      <t xml:space="preserve">More </t>
    </r>
    <r>
      <rPr>
        <b/>
        <sz val="11"/>
        <color rgb="FFC00000"/>
        <rFont val="Arial"/>
        <family val="2"/>
      </rPr>
      <t>C-grade</t>
    </r>
  </si>
  <si>
    <r>
      <t xml:space="preserve">Need to </t>
    </r>
    <r>
      <rPr>
        <b/>
        <sz val="11"/>
        <color rgb="FFC00000"/>
        <rFont val="Arial"/>
        <family val="2"/>
      </rPr>
      <t>Rework</t>
    </r>
  </si>
  <si>
    <r>
      <t xml:space="preserve">Need to </t>
    </r>
    <r>
      <rPr>
        <b/>
        <sz val="11"/>
        <color rgb="FFC00000"/>
        <rFont val="Arial"/>
        <family val="2"/>
      </rPr>
      <t>Repack</t>
    </r>
  </si>
  <si>
    <t>Note: Don't count it twice. For example, C-grade products are going to rework. You just select "Need to Rework" instead of "More C-grade".</t>
  </si>
  <si>
    <t>Off-spec products were produced due to this incident. Off-spec products are going to sell out.</t>
  </si>
  <si>
    <t>2. Input the data</t>
  </si>
  <si>
    <t>←this color of background.</t>
  </si>
  <si>
    <t>Please input the cells with</t>
  </si>
  <si>
    <t>If you have added lower porduction rate due to reworking, please just select "Rework" and don't select"Lower production rate".</t>
  </si>
  <si>
    <t>The total amount of C-grade</t>
  </si>
  <si>
    <t>This is equal to reworking rate in the normal case. For some cases as MI products, it could be zero.</t>
  </si>
  <si>
    <t>The downtime for each lines in the finishing area. If both lines are down at 24 hours, the total downtime is 48 hours.</t>
  </si>
  <si>
    <r>
      <t xml:space="preserve">The Total Amount of </t>
    </r>
    <r>
      <rPr>
        <b/>
        <sz val="11"/>
        <color rgb="FFC00000"/>
        <rFont val="Arial"/>
        <family val="2"/>
      </rPr>
      <t>Scrap</t>
    </r>
    <r>
      <rPr>
        <sz val="11"/>
        <color theme="1"/>
        <rFont val="Arial"/>
        <family val="2"/>
      </rPr>
      <t xml:space="preserve"> Produced</t>
    </r>
  </si>
  <si>
    <r>
      <t xml:space="preserve">Total </t>
    </r>
    <r>
      <rPr>
        <b/>
        <sz val="11"/>
        <color rgb="FFC00000"/>
        <rFont val="Arial"/>
        <family val="2"/>
      </rPr>
      <t>Downtime</t>
    </r>
  </si>
  <si>
    <r>
      <t xml:space="preserve">The Flow Rate for </t>
    </r>
    <r>
      <rPr>
        <b/>
        <sz val="11"/>
        <color rgb="FFC00000"/>
        <rFont val="Arial"/>
        <family val="2"/>
      </rPr>
      <t>Lower Production Rate</t>
    </r>
  </si>
  <si>
    <r>
      <t xml:space="preserve">Hours for </t>
    </r>
    <r>
      <rPr>
        <b/>
        <sz val="11"/>
        <color rgb="FFC00000"/>
        <rFont val="Arial"/>
        <family val="2"/>
      </rPr>
      <t>Lower Production Rate</t>
    </r>
  </si>
  <si>
    <r>
      <t xml:space="preserve">The Total Amount of </t>
    </r>
    <r>
      <rPr>
        <b/>
        <sz val="11"/>
        <color rgb="FFC00000"/>
        <rFont val="Arial"/>
        <family val="2"/>
      </rPr>
      <t>C-Grade</t>
    </r>
    <r>
      <rPr>
        <sz val="11"/>
        <color theme="1"/>
        <rFont val="Arial"/>
        <family val="2"/>
      </rPr>
      <t xml:space="preserve"> Produced</t>
    </r>
  </si>
  <si>
    <r>
      <t xml:space="preserve">Production Rate Reduction Due to </t>
    </r>
    <r>
      <rPr>
        <b/>
        <sz val="11"/>
        <color rgb="FFC00000"/>
        <rFont val="Arial"/>
        <family val="2"/>
      </rPr>
      <t>Reowork</t>
    </r>
  </si>
  <si>
    <r>
      <rPr>
        <b/>
        <sz val="11"/>
        <color rgb="FFC00000"/>
        <rFont val="Arial"/>
        <family val="2"/>
      </rPr>
      <t>Reworking</t>
    </r>
    <r>
      <rPr>
        <sz val="11"/>
        <color theme="1"/>
        <rFont val="Arial"/>
        <family val="2"/>
      </rPr>
      <t xml:space="preserve"> Rate</t>
    </r>
  </si>
  <si>
    <r>
      <t xml:space="preserve">Total Quantity for </t>
    </r>
    <r>
      <rPr>
        <b/>
        <sz val="11"/>
        <color rgb="FFC00000"/>
        <rFont val="Arial"/>
        <family val="2"/>
      </rPr>
      <t>Reworking</t>
    </r>
  </si>
  <si>
    <r>
      <rPr>
        <b/>
        <sz val="11"/>
        <color rgb="FFC00000"/>
        <rFont val="Arial"/>
        <family val="2"/>
      </rPr>
      <t>Rework</t>
    </r>
    <r>
      <rPr>
        <sz val="11"/>
        <color theme="1"/>
        <rFont val="Arial"/>
        <family val="2"/>
      </rPr>
      <t xml:space="preserve"> from Which Packages</t>
    </r>
  </si>
  <si>
    <r>
      <t xml:space="preserve">Quantity in The Packaging Unit from </t>
    </r>
    <r>
      <rPr>
        <b/>
        <sz val="11"/>
        <color rgb="FFC00000"/>
        <rFont val="Arial"/>
        <family val="2"/>
      </rPr>
      <t>Reworking</t>
    </r>
  </si>
  <si>
    <r>
      <t xml:space="preserve">Packaging Prices from </t>
    </r>
    <r>
      <rPr>
        <b/>
        <sz val="11"/>
        <color rgb="FFC00000"/>
        <rFont val="Arial"/>
        <family val="2"/>
      </rPr>
      <t>Reworking</t>
    </r>
    <r>
      <rPr>
        <sz val="11"/>
        <color theme="1"/>
        <rFont val="Arial"/>
        <family val="2"/>
      </rPr>
      <t xml:space="preserve"> Package</t>
    </r>
  </si>
  <si>
    <r>
      <t xml:space="preserve">Bag to </t>
    </r>
    <r>
      <rPr>
        <b/>
        <sz val="11"/>
        <color rgb="FFC00000"/>
        <rFont val="Arial"/>
        <family val="2"/>
      </rPr>
      <t>Rework</t>
    </r>
  </si>
  <si>
    <r>
      <t xml:space="preserve">Box to </t>
    </r>
    <r>
      <rPr>
        <b/>
        <sz val="11"/>
        <color rgb="FFC00000"/>
        <rFont val="Arial"/>
        <family val="2"/>
      </rPr>
      <t>Rework</t>
    </r>
  </si>
  <si>
    <r>
      <t>Supersack to</t>
    </r>
    <r>
      <rPr>
        <b/>
        <sz val="11"/>
        <color rgb="FFC00000"/>
        <rFont val="Arial"/>
        <family val="2"/>
      </rPr>
      <t xml:space="preserve"> Rework</t>
    </r>
  </si>
  <si>
    <r>
      <t xml:space="preserve">Total Quantity for </t>
    </r>
    <r>
      <rPr>
        <b/>
        <sz val="11"/>
        <color rgb="FFC00000"/>
        <rFont val="Arial"/>
        <family val="2"/>
      </rPr>
      <t>Repacking</t>
    </r>
  </si>
  <si>
    <r>
      <t xml:space="preserve">The Original  Package for </t>
    </r>
    <r>
      <rPr>
        <b/>
        <sz val="11"/>
        <color rgb="FFC00000"/>
        <rFont val="Arial"/>
        <family val="2"/>
      </rPr>
      <t>Repacking</t>
    </r>
  </si>
  <si>
    <r>
      <t xml:space="preserve">Quantity in The Package Unit from </t>
    </r>
    <r>
      <rPr>
        <b/>
        <sz val="11"/>
        <color rgb="FFC00000"/>
        <rFont val="Arial"/>
        <family val="2"/>
      </rPr>
      <t>Repacking</t>
    </r>
  </si>
  <si>
    <r>
      <t xml:space="preserve">Packaging Prices from </t>
    </r>
    <r>
      <rPr>
        <b/>
        <sz val="11"/>
        <color rgb="FFC00000"/>
        <rFont val="Arial"/>
        <family val="2"/>
      </rPr>
      <t>Repacking</t>
    </r>
    <r>
      <rPr>
        <sz val="11"/>
        <color theme="1"/>
        <rFont val="Arial"/>
        <family val="2"/>
      </rPr>
      <t xml:space="preserve"> Package</t>
    </r>
  </si>
  <si>
    <r>
      <t xml:space="preserve">Bag to </t>
    </r>
    <r>
      <rPr>
        <b/>
        <sz val="11"/>
        <color rgb="FFC00000"/>
        <rFont val="Arial"/>
        <family val="2"/>
      </rPr>
      <t>Repack</t>
    </r>
  </si>
  <si>
    <r>
      <t xml:space="preserve">Box to </t>
    </r>
    <r>
      <rPr>
        <b/>
        <sz val="11"/>
        <color rgb="FFC00000"/>
        <rFont val="Arial"/>
        <family val="2"/>
      </rPr>
      <t>Repack</t>
    </r>
  </si>
  <si>
    <r>
      <t xml:space="preserve">Supersack to </t>
    </r>
    <r>
      <rPr>
        <b/>
        <sz val="11"/>
        <color rgb="FFC00000"/>
        <rFont val="Arial"/>
        <family val="2"/>
      </rPr>
      <t>Repack</t>
    </r>
  </si>
  <si>
    <r>
      <t xml:space="preserve">Extra Coverage for </t>
    </r>
    <r>
      <rPr>
        <b/>
        <sz val="11"/>
        <color rgb="FFC00000"/>
        <rFont val="Arial"/>
        <family val="2"/>
      </rPr>
      <t>Repacking</t>
    </r>
  </si>
  <si>
    <t>hours/person</t>
  </si>
  <si>
    <r>
      <t xml:space="preserve">Overtime hours for </t>
    </r>
    <r>
      <rPr>
        <b/>
        <sz val="11"/>
        <color rgb="FFC00000"/>
        <rFont val="Arial"/>
        <family val="2"/>
      </rPr>
      <t>Repacking</t>
    </r>
    <r>
      <rPr>
        <sz val="11"/>
        <color theme="1"/>
        <rFont val="Arial"/>
        <family val="2"/>
      </rPr>
      <t xml:space="preserve"> per person</t>
    </r>
  </si>
  <si>
    <r>
      <t xml:space="preserve">Estimated Average Payrate for Coverage of </t>
    </r>
    <r>
      <rPr>
        <b/>
        <sz val="11"/>
        <color rgb="FFC00000"/>
        <rFont val="Arial"/>
        <family val="2"/>
      </rPr>
      <t>Repacking</t>
    </r>
  </si>
  <si>
    <t>The Cost for the Poor Quality Control</t>
  </si>
  <si>
    <t>The Evaluation of Cost for Poor Quality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</si>
</sst>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2"/>
      <color rgb="FF0000CC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00CC"/>
      <name val="Arial"/>
      <family val="2"/>
    </font>
    <font>
      <b/>
      <u/>
      <sz val="12"/>
      <color theme="1"/>
      <name val="Arial"/>
      <family val="2"/>
    </font>
    <font>
      <sz val="12"/>
      <name val="Arial"/>
      <family val="2"/>
    </font>
    <font>
      <b/>
      <sz val="12"/>
      <color theme="5" tint="-0.499984740745262"/>
      <name val="Arial"/>
      <family val="2"/>
    </font>
    <font>
      <b/>
      <sz val="16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rgb="FF0000CC"/>
      <name val="Arial"/>
      <family val="2"/>
    </font>
    <font>
      <sz val="11"/>
      <name val="Arial"/>
      <family val="2"/>
    </font>
    <font>
      <b/>
      <sz val="12"/>
      <color theme="9" tint="-0.499984740745262"/>
      <name val="Arial"/>
      <family val="2"/>
    </font>
    <font>
      <sz val="12"/>
      <color theme="9" tint="-0.499984740745262"/>
      <name val="Arial"/>
      <family val="2"/>
    </font>
    <font>
      <b/>
      <u/>
      <sz val="16"/>
      <color theme="1"/>
      <name val="Arial"/>
      <family val="2"/>
    </font>
    <font>
      <sz val="11"/>
      <color theme="5" tint="-0.499984740745262"/>
      <name val="Arial"/>
      <family val="2"/>
    </font>
    <font>
      <b/>
      <sz val="14"/>
      <color theme="5" tint="-0.499984740745262"/>
      <name val="Arial"/>
      <family val="2"/>
    </font>
    <font>
      <sz val="14"/>
      <color theme="1"/>
      <name val="Arial"/>
      <family val="2"/>
    </font>
    <font>
      <sz val="14"/>
      <color theme="5" tint="-0.499984740745262"/>
      <name val="Arial"/>
      <family val="2"/>
    </font>
    <font>
      <b/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rgb="FF008000"/>
      </left>
      <right/>
      <top style="thick">
        <color rgb="FF008000"/>
      </top>
      <bottom style="thick">
        <color rgb="FF008000"/>
      </bottom>
      <diagonal/>
    </border>
    <border>
      <left/>
      <right/>
      <top style="thick">
        <color rgb="FF008000"/>
      </top>
      <bottom style="thick">
        <color rgb="FF008000"/>
      </bottom>
      <diagonal/>
    </border>
    <border>
      <left/>
      <right style="thick">
        <color rgb="FF008000"/>
      </right>
      <top style="thick">
        <color rgb="FF008000"/>
      </top>
      <bottom style="thick">
        <color rgb="FF008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5" fillId="2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vertical="center"/>
    </xf>
    <xf numFmtId="2" fontId="7" fillId="0" borderId="2" xfId="0" applyNumberFormat="1" applyFont="1" applyBorder="1" applyAlignment="1">
      <alignment vertical="center"/>
    </xf>
    <xf numFmtId="2" fontId="11" fillId="0" borderId="2" xfId="0" applyNumberFormat="1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shrinkToFi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 vertical="center" shrinkToFit="1"/>
    </xf>
    <xf numFmtId="0" fontId="18" fillId="0" borderId="0" xfId="0" applyFont="1"/>
    <xf numFmtId="0" fontId="14" fillId="2" borderId="0" xfId="0" applyFont="1" applyFill="1" applyAlignment="1">
      <alignment horizontal="center" vertical="center" shrinkToFit="1"/>
    </xf>
    <xf numFmtId="0" fontId="19" fillId="0" borderId="0" xfId="0" applyFont="1"/>
    <xf numFmtId="0" fontId="19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21" fillId="0" borderId="0" xfId="0" applyFont="1"/>
    <xf numFmtId="0" fontId="20" fillId="0" borderId="3" xfId="0" applyFont="1" applyBorder="1"/>
    <xf numFmtId="0" fontId="22" fillId="0" borderId="4" xfId="0" applyFont="1" applyBorder="1"/>
    <xf numFmtId="0" fontId="22" fillId="0" borderId="5" xfId="0" applyFont="1" applyBorder="1"/>
    <xf numFmtId="165" fontId="22" fillId="3" borderId="4" xfId="0" applyNumberFormat="1" applyFont="1" applyFill="1" applyBorder="1" applyAlignment="1">
      <alignment horizontal="center" vertical="center" shrinkToFit="1"/>
    </xf>
    <xf numFmtId="0" fontId="23" fillId="0" borderId="0" xfId="0" applyFont="1"/>
  </cellXfs>
  <cellStyles count="1">
    <cellStyle name="Normal" xfId="0" builtinId="0"/>
  </cellStyles>
  <dxfs count="2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CCFFFF"/>
      <color rgb="FF008000"/>
      <color rgb="FF0000CC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4E36-285A-43A0-8E65-C076ED50FA91}">
  <dimension ref="A1:R42"/>
  <sheetViews>
    <sheetView showGridLines="0" tabSelected="1" zoomScale="85" zoomScaleNormal="85" workbookViewId="0">
      <selection activeCell="A8" sqref="A8"/>
    </sheetView>
  </sheetViews>
  <sheetFormatPr defaultRowHeight="15" x14ac:dyDescent="0.2"/>
  <cols>
    <col min="1" max="1" width="55.85546875" style="12" customWidth="1"/>
    <col min="2" max="2" width="8.140625" style="12" hidden="1" customWidth="1"/>
    <col min="3" max="3" width="16.5703125" style="46" customWidth="1"/>
    <col min="4" max="4" width="16.42578125" style="12" customWidth="1"/>
    <col min="5" max="16384" width="9.140625" style="12"/>
  </cols>
  <sheetData>
    <row r="1" spans="1:17" ht="20.25" x14ac:dyDescent="0.3">
      <c r="A1" s="56" t="s">
        <v>143</v>
      </c>
      <c r="B1" s="43"/>
    </row>
    <row r="2" spans="1:17" ht="2.25" customHeight="1" x14ac:dyDescent="0.2"/>
    <row r="3" spans="1:17" ht="14.25" x14ac:dyDescent="0.2">
      <c r="A3" s="66" t="s">
        <v>94</v>
      </c>
      <c r="C3" s="45"/>
    </row>
    <row r="4" spans="1:17" x14ac:dyDescent="0.25">
      <c r="A4" s="44" t="s">
        <v>95</v>
      </c>
      <c r="B4" s="51">
        <f>IF(C4="YES",1,0)</f>
        <v>1</v>
      </c>
      <c r="C4" s="57" t="s">
        <v>96</v>
      </c>
      <c r="D4" s="58" t="s">
        <v>98</v>
      </c>
    </row>
    <row r="5" spans="1:17" ht="15.75" x14ac:dyDescent="0.25">
      <c r="A5" s="44" t="s">
        <v>97</v>
      </c>
      <c r="B5" s="51">
        <f t="shared" ref="B5:B7" si="0">IF(C5="YES",1,0)</f>
        <v>0</v>
      </c>
      <c r="C5" s="57" t="s">
        <v>100</v>
      </c>
      <c r="D5" s="58" t="s">
        <v>99</v>
      </c>
      <c r="Q5" s="1"/>
    </row>
    <row r="6" spans="1:17" ht="15.75" x14ac:dyDescent="0.25">
      <c r="A6" s="12" t="s">
        <v>104</v>
      </c>
      <c r="B6" s="51">
        <f t="shared" si="0"/>
        <v>1</v>
      </c>
      <c r="C6" s="57" t="s">
        <v>96</v>
      </c>
      <c r="D6" s="58" t="s">
        <v>101</v>
      </c>
      <c r="Q6" s="1"/>
    </row>
    <row r="7" spans="1:17" ht="15.75" x14ac:dyDescent="0.25">
      <c r="A7" s="12" t="s">
        <v>105</v>
      </c>
      <c r="B7" s="51">
        <f t="shared" si="0"/>
        <v>1</v>
      </c>
      <c r="C7" s="57" t="s">
        <v>96</v>
      </c>
      <c r="D7" s="58" t="s">
        <v>109</v>
      </c>
      <c r="Q7" s="1"/>
    </row>
    <row r="8" spans="1:17" ht="15.75" x14ac:dyDescent="0.25">
      <c r="A8" s="12" t="s">
        <v>106</v>
      </c>
      <c r="B8" s="51">
        <f>IF(C8="YES",1,0)</f>
        <v>1</v>
      </c>
      <c r="C8" s="57" t="s">
        <v>96</v>
      </c>
      <c r="D8" s="58" t="s">
        <v>103</v>
      </c>
      <c r="Q8" s="1"/>
    </row>
    <row r="9" spans="1:17" ht="15.75" x14ac:dyDescent="0.25">
      <c r="A9" s="12" t="s">
        <v>107</v>
      </c>
      <c r="B9" s="51">
        <f>IF(C9="YES",1,0)</f>
        <v>0</v>
      </c>
      <c r="C9" s="57" t="s">
        <v>100</v>
      </c>
      <c r="D9" s="58" t="s">
        <v>102</v>
      </c>
      <c r="Q9" s="1"/>
    </row>
    <row r="10" spans="1:17" ht="15.75" x14ac:dyDescent="0.25">
      <c r="A10" s="12" t="s">
        <v>108</v>
      </c>
      <c r="C10" s="45"/>
      <c r="Q10" s="1"/>
    </row>
    <row r="11" spans="1:17" ht="15.75" x14ac:dyDescent="0.25">
      <c r="A11" s="12" t="s">
        <v>113</v>
      </c>
      <c r="C11" s="45"/>
      <c r="Q11" s="1"/>
    </row>
    <row r="12" spans="1:17" ht="3.75" customHeight="1" x14ac:dyDescent="0.25">
      <c r="C12" s="45"/>
      <c r="Q12" s="1"/>
    </row>
    <row r="13" spans="1:17" ht="15.75" x14ac:dyDescent="0.25">
      <c r="A13" s="66" t="s">
        <v>110</v>
      </c>
      <c r="C13" s="45"/>
      <c r="Q13" s="1"/>
    </row>
    <row r="14" spans="1:17" ht="15.75" x14ac:dyDescent="0.25">
      <c r="A14" s="52" t="s">
        <v>112</v>
      </c>
      <c r="B14" s="53"/>
      <c r="C14" s="55"/>
      <c r="D14" s="52" t="s">
        <v>111</v>
      </c>
      <c r="E14" s="54"/>
      <c r="F14" s="54"/>
      <c r="Q14" s="1"/>
    </row>
    <row r="15" spans="1:17" ht="15.75" x14ac:dyDescent="0.25">
      <c r="A15" s="38" t="s">
        <v>6</v>
      </c>
      <c r="B15" s="38">
        <f>B4+B5+B8</f>
        <v>2</v>
      </c>
      <c r="C15" s="50">
        <v>3411</v>
      </c>
      <c r="Q15" s="1"/>
    </row>
    <row r="16" spans="1:17" ht="15.75" x14ac:dyDescent="0.25">
      <c r="A16" s="12" t="s">
        <v>118</v>
      </c>
      <c r="B16" s="12">
        <f>B4</f>
        <v>1</v>
      </c>
      <c r="C16" s="48">
        <v>48</v>
      </c>
      <c r="D16" s="47" t="s">
        <v>0</v>
      </c>
      <c r="E16" s="58" t="s">
        <v>116</v>
      </c>
      <c r="Q16" s="1"/>
    </row>
    <row r="17" spans="1:18" ht="15.75" x14ac:dyDescent="0.25">
      <c r="A17" s="38" t="s">
        <v>119</v>
      </c>
      <c r="B17" s="12">
        <f>B5</f>
        <v>0</v>
      </c>
      <c r="C17" s="48">
        <v>9500</v>
      </c>
      <c r="D17" s="47" t="s">
        <v>19</v>
      </c>
      <c r="E17" s="59" t="s">
        <v>18</v>
      </c>
      <c r="Q17" s="1"/>
    </row>
    <row r="18" spans="1:18" ht="15.75" x14ac:dyDescent="0.25">
      <c r="A18" s="38" t="s">
        <v>120</v>
      </c>
      <c r="B18" s="12">
        <f>B5</f>
        <v>0</v>
      </c>
      <c r="C18" s="48">
        <v>48</v>
      </c>
      <c r="D18" s="47" t="s">
        <v>0</v>
      </c>
      <c r="E18" s="59" t="s">
        <v>24</v>
      </c>
      <c r="Q18" s="1"/>
    </row>
    <row r="19" spans="1:18" ht="15.75" x14ac:dyDescent="0.25">
      <c r="A19" s="12" t="s">
        <v>117</v>
      </c>
      <c r="B19" s="12">
        <f>B6</f>
        <v>1</v>
      </c>
      <c r="C19" s="48">
        <v>100000</v>
      </c>
      <c r="D19" s="47" t="s">
        <v>27</v>
      </c>
      <c r="E19" s="58" t="s">
        <v>28</v>
      </c>
      <c r="Q19" s="1"/>
    </row>
    <row r="20" spans="1:18" ht="15.75" x14ac:dyDescent="0.25">
      <c r="A20" s="12" t="s">
        <v>121</v>
      </c>
      <c r="B20" s="51">
        <f>B7</f>
        <v>1</v>
      </c>
      <c r="C20" s="48">
        <v>100000</v>
      </c>
      <c r="D20" s="47" t="s">
        <v>27</v>
      </c>
      <c r="E20" s="58" t="s">
        <v>38</v>
      </c>
      <c r="Q20" s="1"/>
    </row>
    <row r="21" spans="1:18" ht="15.75" x14ac:dyDescent="0.25">
      <c r="A21" s="38" t="s">
        <v>122</v>
      </c>
      <c r="B21" s="38">
        <f>B8</f>
        <v>1</v>
      </c>
      <c r="C21" s="48">
        <v>1000</v>
      </c>
      <c r="D21" s="47" t="s">
        <v>19</v>
      </c>
      <c r="E21" s="59" t="s">
        <v>115</v>
      </c>
      <c r="R21" s="1"/>
    </row>
    <row r="22" spans="1:18" ht="15.75" x14ac:dyDescent="0.25">
      <c r="A22" s="38" t="s">
        <v>123</v>
      </c>
      <c r="B22" s="38">
        <f>B8</f>
        <v>1</v>
      </c>
      <c r="C22" s="48">
        <v>1000</v>
      </c>
      <c r="D22" s="47" t="s">
        <v>19</v>
      </c>
      <c r="E22" s="38"/>
      <c r="R22" s="1"/>
    </row>
    <row r="23" spans="1:18" ht="15.75" x14ac:dyDescent="0.25">
      <c r="A23" s="38" t="s">
        <v>124</v>
      </c>
      <c r="B23" s="38">
        <f>B8</f>
        <v>1</v>
      </c>
      <c r="C23" s="48">
        <v>200000</v>
      </c>
      <c r="D23" s="47" t="s">
        <v>27</v>
      </c>
      <c r="E23" s="38"/>
      <c r="R23" s="1"/>
    </row>
    <row r="24" spans="1:18" x14ac:dyDescent="0.2">
      <c r="A24" s="38" t="s">
        <v>125</v>
      </c>
      <c r="B24" s="38">
        <f>B8</f>
        <v>1</v>
      </c>
      <c r="C24" s="48" t="s">
        <v>61</v>
      </c>
      <c r="D24" s="47"/>
      <c r="E24" s="38"/>
    </row>
    <row r="25" spans="1:18" x14ac:dyDescent="0.2">
      <c r="A25" s="38" t="s">
        <v>126</v>
      </c>
      <c r="B25" s="38">
        <f>B8</f>
        <v>1</v>
      </c>
      <c r="C25" s="48">
        <v>30</v>
      </c>
      <c r="D25" s="47" t="s">
        <v>63</v>
      </c>
      <c r="E25" s="59" t="s">
        <v>64</v>
      </c>
    </row>
    <row r="26" spans="1:18" x14ac:dyDescent="0.2">
      <c r="A26" s="38" t="s">
        <v>127</v>
      </c>
      <c r="B26" s="38"/>
      <c r="C26" s="48"/>
      <c r="D26" s="47"/>
      <c r="E26" s="38"/>
    </row>
    <row r="27" spans="1:18" x14ac:dyDescent="0.2">
      <c r="A27" s="38" t="s">
        <v>128</v>
      </c>
      <c r="B27" s="38">
        <f>B8*IF(C24="Bags",1,0)</f>
        <v>1</v>
      </c>
      <c r="C27" s="48">
        <v>0.88</v>
      </c>
      <c r="D27" s="47" t="s">
        <v>53</v>
      </c>
      <c r="E27" s="38"/>
    </row>
    <row r="28" spans="1:18" x14ac:dyDescent="0.2">
      <c r="A28" s="38" t="s">
        <v>129</v>
      </c>
      <c r="B28" s="38">
        <f>B8*IF(C24="Box",1,0)</f>
        <v>0</v>
      </c>
      <c r="C28" s="48">
        <v>32</v>
      </c>
      <c r="D28" s="47" t="s">
        <v>53</v>
      </c>
      <c r="E28" s="38"/>
    </row>
    <row r="29" spans="1:18" x14ac:dyDescent="0.2">
      <c r="A29" s="38" t="s">
        <v>130</v>
      </c>
      <c r="B29" s="38">
        <f>B8*IF(C24="Single sacks",1,IF(C24="Double stack supersacks",1,0))</f>
        <v>0</v>
      </c>
      <c r="C29" s="48">
        <v>12</v>
      </c>
      <c r="D29" s="47" t="s">
        <v>53</v>
      </c>
      <c r="E29" s="38"/>
    </row>
    <row r="30" spans="1:18" x14ac:dyDescent="0.2">
      <c r="A30" s="38" t="s">
        <v>131</v>
      </c>
      <c r="B30" s="38">
        <f>B9</f>
        <v>0</v>
      </c>
      <c r="C30" s="49">
        <v>20000</v>
      </c>
      <c r="D30" s="47" t="s">
        <v>40</v>
      </c>
    </row>
    <row r="31" spans="1:18" x14ac:dyDescent="0.2">
      <c r="A31" s="38" t="s">
        <v>132</v>
      </c>
      <c r="B31" s="38">
        <f>B9</f>
        <v>0</v>
      </c>
      <c r="C31" s="48" t="s">
        <v>61</v>
      </c>
      <c r="D31" s="47"/>
    </row>
    <row r="32" spans="1:18" x14ac:dyDescent="0.2">
      <c r="A32" s="38" t="s">
        <v>133</v>
      </c>
      <c r="B32" s="38">
        <f>B9</f>
        <v>0</v>
      </c>
      <c r="C32" s="49">
        <v>30</v>
      </c>
      <c r="D32" s="47" t="s">
        <v>63</v>
      </c>
      <c r="E32" s="59" t="s">
        <v>64</v>
      </c>
    </row>
    <row r="33" spans="1:4" x14ac:dyDescent="0.2">
      <c r="A33" s="38" t="s">
        <v>134</v>
      </c>
      <c r="B33" s="38"/>
      <c r="C33" s="49"/>
      <c r="D33" s="47"/>
    </row>
    <row r="34" spans="1:4" x14ac:dyDescent="0.2">
      <c r="A34" s="38" t="s">
        <v>135</v>
      </c>
      <c r="B34" s="38">
        <f>B9*IF(C31="Bags",1,0)</f>
        <v>0</v>
      </c>
      <c r="C34" s="49">
        <v>0.88</v>
      </c>
      <c r="D34" s="47" t="s">
        <v>53</v>
      </c>
    </row>
    <row r="35" spans="1:4" x14ac:dyDescent="0.2">
      <c r="A35" s="38" t="s">
        <v>136</v>
      </c>
      <c r="B35" s="38">
        <f>B9*IF(C31="Box",1,0)</f>
        <v>0</v>
      </c>
      <c r="C35" s="49">
        <v>32</v>
      </c>
      <c r="D35" s="47" t="s">
        <v>53</v>
      </c>
    </row>
    <row r="36" spans="1:4" x14ac:dyDescent="0.2">
      <c r="A36" s="38" t="s">
        <v>137</v>
      </c>
      <c r="B36" s="38">
        <f>B9*IF(C31="Single sacks",1,IF(C31="Double stack supersacks",1,0))</f>
        <v>0</v>
      </c>
      <c r="C36" s="49">
        <v>12</v>
      </c>
      <c r="D36" s="47" t="s">
        <v>53</v>
      </c>
    </row>
    <row r="37" spans="1:4" x14ac:dyDescent="0.2">
      <c r="A37" s="38" t="s">
        <v>138</v>
      </c>
      <c r="B37" s="38">
        <f>B9</f>
        <v>0</v>
      </c>
      <c r="C37" s="49">
        <v>1</v>
      </c>
      <c r="D37" s="47" t="s">
        <v>86</v>
      </c>
    </row>
    <row r="38" spans="1:4" x14ac:dyDescent="0.2">
      <c r="A38" s="38" t="s">
        <v>140</v>
      </c>
      <c r="B38" s="38">
        <f>B9</f>
        <v>0</v>
      </c>
      <c r="C38" s="49">
        <v>24</v>
      </c>
      <c r="D38" s="47" t="s">
        <v>139</v>
      </c>
    </row>
    <row r="39" spans="1:4" x14ac:dyDescent="0.2">
      <c r="A39" s="38" t="s">
        <v>141</v>
      </c>
      <c r="B39" s="38">
        <f>B9</f>
        <v>0</v>
      </c>
      <c r="C39" s="49">
        <v>35</v>
      </c>
      <c r="D39" s="47" t="s">
        <v>90</v>
      </c>
    </row>
    <row r="40" spans="1:4" ht="4.5" customHeight="1" thickBot="1" x14ac:dyDescent="0.25"/>
    <row r="41" spans="1:4" s="61" customFormat="1" ht="19.5" thickTop="1" thickBot="1" x14ac:dyDescent="0.3">
      <c r="A41" s="62" t="s">
        <v>142</v>
      </c>
      <c r="B41" s="63"/>
      <c r="C41" s="65">
        <f>B4*Downtime!B9+Summary!B5*'Lower Production'!B12+Summary!B6*Scrap!B6+Summary!B7*Cgrade!B6+Summary!B8*Rework!C39+Summary!B9*Repack!B16</f>
        <v>284.54484848484844</v>
      </c>
      <c r="D41" s="64" t="s">
        <v>16</v>
      </c>
    </row>
    <row r="42" spans="1:4" ht="15.75" thickTop="1" x14ac:dyDescent="0.2"/>
  </sheetData>
  <dataConsolidate/>
  <conditionalFormatting sqref="C15">
    <cfRule type="expression" dxfId="22" priority="24">
      <formula>B15&gt;0.5</formula>
    </cfRule>
  </conditionalFormatting>
  <conditionalFormatting sqref="C16">
    <cfRule type="expression" dxfId="21" priority="22">
      <formula>$B$16&gt;0.5</formula>
    </cfRule>
  </conditionalFormatting>
  <conditionalFormatting sqref="C17">
    <cfRule type="expression" dxfId="20" priority="21">
      <formula>$B$17&gt;0.5</formula>
    </cfRule>
  </conditionalFormatting>
  <conditionalFormatting sqref="C18">
    <cfRule type="expression" dxfId="19" priority="20">
      <formula>$B$18&gt;0.5</formula>
    </cfRule>
  </conditionalFormatting>
  <conditionalFormatting sqref="C19">
    <cfRule type="expression" dxfId="18" priority="19">
      <formula>$B$19&gt;0.5</formula>
    </cfRule>
  </conditionalFormatting>
  <conditionalFormatting sqref="C20">
    <cfRule type="expression" dxfId="17" priority="18">
      <formula>$B$20&gt;0.5</formula>
    </cfRule>
  </conditionalFormatting>
  <conditionalFormatting sqref="C21">
    <cfRule type="expression" dxfId="16" priority="17">
      <formula>$B$21&gt;0.5</formula>
    </cfRule>
  </conditionalFormatting>
  <conditionalFormatting sqref="C22">
    <cfRule type="expression" dxfId="15" priority="16">
      <formula>$B$22&gt;0.5</formula>
    </cfRule>
  </conditionalFormatting>
  <conditionalFormatting sqref="C23">
    <cfRule type="expression" dxfId="14" priority="15">
      <formula>$B$23&gt;0.5</formula>
    </cfRule>
  </conditionalFormatting>
  <conditionalFormatting sqref="C24">
    <cfRule type="expression" dxfId="13" priority="14">
      <formula>$B$24&gt;0.5</formula>
    </cfRule>
  </conditionalFormatting>
  <conditionalFormatting sqref="C25">
    <cfRule type="expression" dxfId="12" priority="13">
      <formula>$B$25&gt;0.5</formula>
    </cfRule>
  </conditionalFormatting>
  <conditionalFormatting sqref="C27">
    <cfRule type="expression" dxfId="11" priority="12">
      <formula>$B$27&gt;0.5</formula>
    </cfRule>
  </conditionalFormatting>
  <conditionalFormatting sqref="C28">
    <cfRule type="expression" dxfId="10" priority="11">
      <formula>$B$28&gt;0.5</formula>
    </cfRule>
  </conditionalFormatting>
  <conditionalFormatting sqref="C29">
    <cfRule type="expression" dxfId="9" priority="10">
      <formula>$B$29&gt;0.5</formula>
    </cfRule>
  </conditionalFormatting>
  <conditionalFormatting sqref="C30">
    <cfRule type="expression" dxfId="8" priority="9">
      <formula>$B$30&gt;0.5</formula>
    </cfRule>
  </conditionalFormatting>
  <conditionalFormatting sqref="C31">
    <cfRule type="expression" dxfId="7" priority="8">
      <formula>$B$31&gt;0.5</formula>
    </cfRule>
  </conditionalFormatting>
  <conditionalFormatting sqref="C32">
    <cfRule type="expression" dxfId="6" priority="7">
      <formula>$B$32&gt;0.5</formula>
    </cfRule>
  </conditionalFormatting>
  <conditionalFormatting sqref="C34">
    <cfRule type="expression" dxfId="5" priority="6">
      <formula>$B$34&gt;0.5</formula>
    </cfRule>
  </conditionalFormatting>
  <conditionalFormatting sqref="C35">
    <cfRule type="expression" dxfId="4" priority="5">
      <formula>$B$35&gt;0.5</formula>
    </cfRule>
  </conditionalFormatting>
  <conditionalFormatting sqref="C36">
    <cfRule type="expression" dxfId="3" priority="4">
      <formula>$B$36&gt;0.5</formula>
    </cfRule>
  </conditionalFormatting>
  <conditionalFormatting sqref="C37">
    <cfRule type="expression" dxfId="2" priority="3">
      <formula>$B$37&gt;0.5</formula>
    </cfRule>
  </conditionalFormatting>
  <conditionalFormatting sqref="C38">
    <cfRule type="expression" dxfId="1" priority="2">
      <formula>$B$38&gt;0.5</formula>
    </cfRule>
  </conditionalFormatting>
  <conditionalFormatting sqref="C39">
    <cfRule type="expression" dxfId="0" priority="1">
      <formula>$B$39&gt;0.5</formula>
    </cfRule>
  </conditionalFormatting>
  <dataValidations count="3">
    <dataValidation type="list" allowBlank="1" showInputMessage="1" showErrorMessage="1" sqref="C4:C9" xr:uid="{A724232D-78E5-4B43-8CC6-D4AD1D9E39C0}">
      <formula1>"YES,NO"</formula1>
    </dataValidation>
    <dataValidation type="list" allowBlank="1" showInputMessage="1" showErrorMessage="1" sqref="C15" xr:uid="{F3E3ED9C-CB7E-450D-82B7-E058316B7411}">
      <formula1>"3411,3411C,3142,3501,3522,3527,3537,3566,3546,3710,3741"</formula1>
    </dataValidation>
    <dataValidation type="list" allowBlank="1" showInputMessage="1" showErrorMessage="1" sqref="C24 C31:C32" xr:uid="{65C43B0A-7E64-4333-9615-E8740E96F99B}">
      <formula1>"Box, Single sacks, Double stack supersacks, Bags"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7437-ECB5-4E20-A871-53EE4B04D32A}">
  <dimension ref="A1:M21"/>
  <sheetViews>
    <sheetView workbookViewId="0">
      <selection activeCell="B5" sqref="B5"/>
    </sheetView>
  </sheetViews>
  <sheetFormatPr defaultRowHeight="15.75" x14ac:dyDescent="0.25"/>
  <cols>
    <col min="1" max="1" width="31.5703125" style="1" bestFit="1" customWidth="1"/>
    <col min="2" max="2" width="9.140625" style="1"/>
    <col min="3" max="3" width="10.28515625" style="1" bestFit="1" customWidth="1"/>
    <col min="4" max="4" width="42.5703125" style="1" customWidth="1"/>
    <col min="5" max="12" width="9.140625" style="1"/>
    <col min="13" max="13" width="18.140625" style="1" bestFit="1" customWidth="1"/>
    <col min="14" max="16384" width="9.140625" style="1"/>
  </cols>
  <sheetData>
    <row r="1" spans="1:13" ht="18" x14ac:dyDescent="0.25">
      <c r="A1" s="2" t="s">
        <v>34</v>
      </c>
    </row>
    <row r="2" spans="1:13" ht="3.75" customHeight="1" x14ac:dyDescent="0.25"/>
    <row r="3" spans="1:13" x14ac:dyDescent="0.25">
      <c r="A3" s="3" t="s">
        <v>6</v>
      </c>
      <c r="B3" s="4">
        <f>Summary!C15</f>
        <v>3411</v>
      </c>
      <c r="C3" s="3"/>
      <c r="D3" s="3" t="s">
        <v>25</v>
      </c>
      <c r="L3" s="1" t="s">
        <v>8</v>
      </c>
      <c r="M3" s="1" t="s">
        <v>9</v>
      </c>
    </row>
    <row r="4" spans="1:13" x14ac:dyDescent="0.25">
      <c r="A4" s="3" t="s">
        <v>1</v>
      </c>
      <c r="B4" s="5">
        <f>Summary!C16</f>
        <v>48</v>
      </c>
      <c r="C4" s="3" t="s">
        <v>0</v>
      </c>
      <c r="D4" s="3" t="s">
        <v>2</v>
      </c>
      <c r="L4" s="1">
        <v>3411</v>
      </c>
      <c r="M4" s="1">
        <v>200</v>
      </c>
    </row>
    <row r="5" spans="1:13" x14ac:dyDescent="0.25">
      <c r="A5" s="3" t="s">
        <v>3</v>
      </c>
      <c r="B5" s="6">
        <v>100</v>
      </c>
      <c r="C5" s="3" t="s">
        <v>4</v>
      </c>
      <c r="D5" s="3"/>
      <c r="L5" s="1" t="s">
        <v>7</v>
      </c>
      <c r="M5" s="1">
        <v>176</v>
      </c>
    </row>
    <row r="6" spans="1:13" x14ac:dyDescent="0.25">
      <c r="A6" s="3" t="s">
        <v>10</v>
      </c>
      <c r="B6" s="6">
        <f>VLOOKUP(B3,L4:M21,2)</f>
        <v>200</v>
      </c>
      <c r="C6" s="3" t="s">
        <v>11</v>
      </c>
      <c r="D6" s="3"/>
      <c r="L6" s="1">
        <v>3412</v>
      </c>
      <c r="M6" s="1">
        <v>200</v>
      </c>
    </row>
    <row r="7" spans="1:13" x14ac:dyDescent="0.25">
      <c r="A7" s="3" t="s">
        <v>12</v>
      </c>
      <c r="B7" s="6">
        <v>75</v>
      </c>
      <c r="C7" s="3" t="s">
        <v>13</v>
      </c>
      <c r="D7" s="3"/>
      <c r="L7" s="1">
        <v>3414</v>
      </c>
      <c r="M7" s="1">
        <v>200</v>
      </c>
    </row>
    <row r="8" spans="1:13" x14ac:dyDescent="0.25">
      <c r="A8" s="3" t="s">
        <v>5</v>
      </c>
      <c r="B8" s="6">
        <f>B4/2/24*B6*B7</f>
        <v>15000</v>
      </c>
      <c r="C8" s="3" t="s">
        <v>14</v>
      </c>
      <c r="D8" s="3"/>
      <c r="L8" s="1">
        <v>3401</v>
      </c>
      <c r="M8" s="1">
        <v>176</v>
      </c>
    </row>
    <row r="9" spans="1:13" x14ac:dyDescent="0.25">
      <c r="A9" s="3" t="s">
        <v>15</v>
      </c>
      <c r="B9" s="7">
        <f>B8/1000+B4/2/24*B5</f>
        <v>115</v>
      </c>
      <c r="C9" s="3" t="s">
        <v>16</v>
      </c>
      <c r="D9" s="3"/>
      <c r="L9" s="1">
        <v>3501</v>
      </c>
      <c r="M9" s="1">
        <v>200</v>
      </c>
    </row>
    <row r="10" spans="1:13" x14ac:dyDescent="0.25">
      <c r="L10" s="1">
        <v>3520</v>
      </c>
      <c r="M10" s="1">
        <v>200</v>
      </c>
    </row>
    <row r="11" spans="1:13" x14ac:dyDescent="0.25">
      <c r="L11" s="1">
        <v>3522</v>
      </c>
      <c r="M11" s="1">
        <v>200</v>
      </c>
    </row>
    <row r="12" spans="1:13" x14ac:dyDescent="0.25">
      <c r="L12" s="1">
        <v>3527</v>
      </c>
      <c r="M12" s="1">
        <v>176</v>
      </c>
    </row>
    <row r="13" spans="1:13" x14ac:dyDescent="0.25">
      <c r="L13" s="1">
        <v>3537</v>
      </c>
      <c r="M13" s="1">
        <v>200</v>
      </c>
    </row>
    <row r="14" spans="1:13" x14ac:dyDescent="0.25">
      <c r="L14" s="1">
        <v>1411</v>
      </c>
      <c r="M14" s="1">
        <v>210</v>
      </c>
    </row>
    <row r="15" spans="1:13" x14ac:dyDescent="0.25">
      <c r="L15" s="1">
        <v>3566</v>
      </c>
      <c r="M15" s="1">
        <v>200</v>
      </c>
    </row>
    <row r="16" spans="1:13" x14ac:dyDescent="0.25">
      <c r="L16" s="1">
        <v>3546</v>
      </c>
      <c r="M16" s="1">
        <v>189</v>
      </c>
    </row>
    <row r="17" spans="12:13" x14ac:dyDescent="0.25">
      <c r="L17" s="1">
        <v>3601</v>
      </c>
      <c r="M17" s="1">
        <v>175</v>
      </c>
    </row>
    <row r="18" spans="12:13" x14ac:dyDescent="0.25">
      <c r="L18" s="1">
        <v>3681</v>
      </c>
      <c r="M18" s="1">
        <v>175</v>
      </c>
    </row>
    <row r="19" spans="12:13" x14ac:dyDescent="0.25">
      <c r="L19" s="1">
        <v>3710</v>
      </c>
      <c r="M19" s="1">
        <v>178</v>
      </c>
    </row>
    <row r="20" spans="12:13" x14ac:dyDescent="0.25">
      <c r="L20" s="1">
        <v>3760</v>
      </c>
      <c r="M20" s="1">
        <v>160</v>
      </c>
    </row>
    <row r="21" spans="12:13" x14ac:dyDescent="0.25">
      <c r="L21" s="1">
        <v>3741</v>
      </c>
      <c r="M21" s="1">
        <v>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3134-9EF2-4148-AD9E-2EB05791D3D0}">
  <dimension ref="A1:J21"/>
  <sheetViews>
    <sheetView workbookViewId="0">
      <selection activeCell="B6" sqref="B6"/>
    </sheetView>
  </sheetViews>
  <sheetFormatPr defaultRowHeight="15" x14ac:dyDescent="0.25"/>
  <cols>
    <col min="1" max="1" width="32.85546875" customWidth="1"/>
    <col min="3" max="3" width="10.85546875" customWidth="1"/>
    <col min="4" max="4" width="32.28515625" customWidth="1"/>
    <col min="10" max="10" width="20.7109375" customWidth="1"/>
  </cols>
  <sheetData>
    <row r="1" spans="1:10" ht="18" x14ac:dyDescent="0.25">
      <c r="A1" s="2" t="s">
        <v>33</v>
      </c>
      <c r="B1" s="1"/>
      <c r="C1" s="1"/>
      <c r="D1" s="1"/>
      <c r="E1" s="1"/>
    </row>
    <row r="2" spans="1:10" ht="4.5" customHeight="1" x14ac:dyDescent="0.25">
      <c r="A2" s="1"/>
      <c r="B2" s="1"/>
      <c r="C2" s="1"/>
      <c r="D2" s="1"/>
      <c r="E2" s="1"/>
    </row>
    <row r="3" spans="1:10" ht="15.75" x14ac:dyDescent="0.25">
      <c r="A3" s="3" t="s">
        <v>6</v>
      </c>
      <c r="B3" s="4">
        <f>Summary!C15</f>
        <v>3411</v>
      </c>
      <c r="C3" s="3"/>
      <c r="D3" s="3" t="s">
        <v>25</v>
      </c>
      <c r="E3" s="1"/>
      <c r="I3" s="1" t="s">
        <v>8</v>
      </c>
      <c r="J3" s="1" t="s">
        <v>9</v>
      </c>
    </row>
    <row r="4" spans="1:10" ht="15.75" x14ac:dyDescent="0.25">
      <c r="A4" s="3" t="s">
        <v>17</v>
      </c>
      <c r="B4" s="5">
        <f>Summary!C17</f>
        <v>9500</v>
      </c>
      <c r="C4" s="3" t="s">
        <v>19</v>
      </c>
      <c r="D4" s="3" t="s">
        <v>18</v>
      </c>
      <c r="E4" s="1"/>
      <c r="I4" s="1">
        <v>3411</v>
      </c>
      <c r="J4" s="1">
        <v>200</v>
      </c>
    </row>
    <row r="5" spans="1:10" ht="15.75" x14ac:dyDescent="0.25">
      <c r="A5" s="3" t="s">
        <v>21</v>
      </c>
      <c r="B5" s="5">
        <f>Summary!C18</f>
        <v>48</v>
      </c>
      <c r="C5" s="3" t="s">
        <v>0</v>
      </c>
      <c r="D5" s="3" t="s">
        <v>24</v>
      </c>
      <c r="E5" s="1"/>
      <c r="I5" s="1" t="s">
        <v>7</v>
      </c>
      <c r="J5" s="1">
        <v>176</v>
      </c>
    </row>
    <row r="6" spans="1:10" ht="15.75" x14ac:dyDescent="0.25">
      <c r="A6" s="3" t="s">
        <v>22</v>
      </c>
      <c r="B6" s="8">
        <f>VLOOKUP(B3,I4:J21,2)</f>
        <v>200</v>
      </c>
      <c r="C6" s="3" t="s">
        <v>23</v>
      </c>
      <c r="D6" s="3"/>
      <c r="E6" s="1"/>
      <c r="I6" s="1">
        <v>3412</v>
      </c>
      <c r="J6" s="1">
        <v>200</v>
      </c>
    </row>
    <row r="7" spans="1:10" ht="15.75" x14ac:dyDescent="0.25">
      <c r="A7" s="3" t="s">
        <v>20</v>
      </c>
      <c r="B7" s="9">
        <f>(B6-B4*0.454/1000*24)*(B5/24)/B6*24</f>
        <v>23.157119999999999</v>
      </c>
      <c r="C7" s="3" t="s">
        <v>0</v>
      </c>
      <c r="D7" s="3"/>
      <c r="E7" s="1"/>
      <c r="I7" s="1">
        <v>3414</v>
      </c>
      <c r="J7" s="1">
        <v>200</v>
      </c>
    </row>
    <row r="8" spans="1:10" ht="15.75" x14ac:dyDescent="0.25">
      <c r="A8" s="3" t="s">
        <v>3</v>
      </c>
      <c r="B8" s="6">
        <v>100</v>
      </c>
      <c r="C8" s="3" t="s">
        <v>4</v>
      </c>
      <c r="D8" s="3"/>
      <c r="E8" s="1"/>
      <c r="I8" s="1">
        <v>3401</v>
      </c>
      <c r="J8" s="1">
        <v>176</v>
      </c>
    </row>
    <row r="9" spans="1:10" ht="15.75" x14ac:dyDescent="0.25">
      <c r="A9" s="3" t="s">
        <v>10</v>
      </c>
      <c r="B9" s="6">
        <f>B6</f>
        <v>200</v>
      </c>
      <c r="C9" s="3" t="s">
        <v>11</v>
      </c>
      <c r="D9" s="3"/>
      <c r="E9" s="1"/>
      <c r="I9" s="1">
        <v>3501</v>
      </c>
      <c r="J9" s="1">
        <v>200</v>
      </c>
    </row>
    <row r="10" spans="1:10" ht="15.75" x14ac:dyDescent="0.25">
      <c r="A10" s="3" t="s">
        <v>12</v>
      </c>
      <c r="B10" s="6">
        <v>75</v>
      </c>
      <c r="C10" s="3" t="s">
        <v>13</v>
      </c>
      <c r="D10" s="3"/>
      <c r="E10" s="1"/>
      <c r="I10" s="1">
        <v>3520</v>
      </c>
      <c r="J10" s="1">
        <v>200</v>
      </c>
    </row>
    <row r="11" spans="1:10" ht="15.75" x14ac:dyDescent="0.25">
      <c r="A11" s="3" t="s">
        <v>5</v>
      </c>
      <c r="B11" s="6">
        <f>B7/24*B9*B10</f>
        <v>14473.2</v>
      </c>
      <c r="C11" s="3" t="s">
        <v>14</v>
      </c>
      <c r="D11" s="3"/>
      <c r="E11" s="1"/>
      <c r="I11" s="1">
        <v>3522</v>
      </c>
      <c r="J11" s="1">
        <v>200</v>
      </c>
    </row>
    <row r="12" spans="1:10" ht="15.75" x14ac:dyDescent="0.25">
      <c r="A12" s="3" t="s">
        <v>15</v>
      </c>
      <c r="B12" s="10">
        <f>B11/1000+B7/24*B8</f>
        <v>110.96120000000001</v>
      </c>
      <c r="C12" s="3" t="s">
        <v>16</v>
      </c>
      <c r="D12" s="3"/>
      <c r="E12" s="1"/>
      <c r="I12" s="1">
        <v>3527</v>
      </c>
      <c r="J12" s="1">
        <v>176</v>
      </c>
    </row>
    <row r="13" spans="1:10" ht="15.75" x14ac:dyDescent="0.25">
      <c r="I13" s="1">
        <v>3537</v>
      </c>
      <c r="J13" s="1">
        <v>200</v>
      </c>
    </row>
    <row r="14" spans="1:10" ht="15.75" x14ac:dyDescent="0.25">
      <c r="I14" s="1">
        <v>1411</v>
      </c>
      <c r="J14" s="1">
        <v>210</v>
      </c>
    </row>
    <row r="15" spans="1:10" ht="15.75" x14ac:dyDescent="0.25">
      <c r="I15" s="1">
        <v>3566</v>
      </c>
      <c r="J15" s="1">
        <v>200</v>
      </c>
    </row>
    <row r="16" spans="1:10" ht="15.75" x14ac:dyDescent="0.25">
      <c r="I16" s="1">
        <v>3546</v>
      </c>
      <c r="J16" s="1">
        <v>189</v>
      </c>
    </row>
    <row r="17" spans="9:10" ht="15.75" x14ac:dyDescent="0.25">
      <c r="I17" s="1">
        <v>3601</v>
      </c>
      <c r="J17" s="1">
        <v>175</v>
      </c>
    </row>
    <row r="18" spans="9:10" ht="15.75" x14ac:dyDescent="0.25">
      <c r="I18" s="1">
        <v>3681</v>
      </c>
      <c r="J18" s="1">
        <v>175</v>
      </c>
    </row>
    <row r="19" spans="9:10" ht="15.75" x14ac:dyDescent="0.25">
      <c r="I19" s="1">
        <v>3710</v>
      </c>
      <c r="J19" s="1">
        <v>178</v>
      </c>
    </row>
    <row r="20" spans="9:10" ht="15.75" x14ac:dyDescent="0.25">
      <c r="I20" s="1">
        <v>3760</v>
      </c>
      <c r="J20" s="1">
        <v>160</v>
      </c>
    </row>
    <row r="21" spans="9:10" ht="15.75" x14ac:dyDescent="0.25">
      <c r="I21" s="1">
        <v>3741</v>
      </c>
      <c r="J21" s="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FFB7-8974-4E18-9DE1-627D31743927}">
  <dimension ref="A1:D6"/>
  <sheetViews>
    <sheetView workbookViewId="0">
      <selection activeCell="B3" sqref="B3"/>
    </sheetView>
  </sheetViews>
  <sheetFormatPr defaultRowHeight="15" x14ac:dyDescent="0.25"/>
  <cols>
    <col min="1" max="1" width="27.42578125" customWidth="1"/>
    <col min="2" max="2" width="13.140625" customWidth="1"/>
  </cols>
  <sheetData>
    <row r="1" spans="1:4" ht="18" x14ac:dyDescent="0.25">
      <c r="A1" s="2" t="s">
        <v>35</v>
      </c>
    </row>
    <row r="2" spans="1:4" ht="2.25" customHeight="1" x14ac:dyDescent="0.25"/>
    <row r="3" spans="1:4" x14ac:dyDescent="0.25">
      <c r="A3" t="s">
        <v>26</v>
      </c>
      <c r="B3" s="11">
        <f>Summary!C19</f>
        <v>100000</v>
      </c>
      <c r="C3" t="s">
        <v>27</v>
      </c>
      <c r="D3" t="s">
        <v>28</v>
      </c>
    </row>
    <row r="4" spans="1:4" x14ac:dyDescent="0.25">
      <c r="A4" t="s">
        <v>29</v>
      </c>
      <c r="B4">
        <v>0.37</v>
      </c>
      <c r="C4" t="s">
        <v>30</v>
      </c>
    </row>
    <row r="5" spans="1:4" x14ac:dyDescent="0.25">
      <c r="A5" t="s">
        <v>31</v>
      </c>
      <c r="B5">
        <v>1.1451</v>
      </c>
      <c r="C5" t="s">
        <v>30</v>
      </c>
    </row>
    <row r="6" spans="1:4" x14ac:dyDescent="0.25">
      <c r="A6" t="s">
        <v>32</v>
      </c>
      <c r="B6">
        <f>B3*(B5-B4)/1000</f>
        <v>77.510000000000005</v>
      </c>
      <c r="C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D201-8D1B-47F3-AB94-8382E79E6F2B}">
  <dimension ref="A1:D6"/>
  <sheetViews>
    <sheetView workbookViewId="0">
      <selection activeCell="B3" sqref="B3"/>
    </sheetView>
  </sheetViews>
  <sheetFormatPr defaultRowHeight="15" x14ac:dyDescent="0.25"/>
  <cols>
    <col min="1" max="1" width="31" customWidth="1"/>
    <col min="2" max="2" width="13.140625" customWidth="1"/>
  </cols>
  <sheetData>
    <row r="1" spans="1:4" ht="18" x14ac:dyDescent="0.25">
      <c r="A1" s="2" t="s">
        <v>35</v>
      </c>
    </row>
    <row r="2" spans="1:4" ht="2.25" customHeight="1" x14ac:dyDescent="0.25"/>
    <row r="3" spans="1:4" x14ac:dyDescent="0.25">
      <c r="A3" t="s">
        <v>114</v>
      </c>
      <c r="B3" s="11">
        <f>Summary!C20</f>
        <v>100000</v>
      </c>
      <c r="C3" t="s">
        <v>27</v>
      </c>
      <c r="D3" t="s">
        <v>38</v>
      </c>
    </row>
    <row r="4" spans="1:4" x14ac:dyDescent="0.25">
      <c r="A4" t="s">
        <v>36</v>
      </c>
      <c r="B4">
        <v>0.80559999999999998</v>
      </c>
      <c r="C4" t="s">
        <v>30</v>
      </c>
    </row>
    <row r="5" spans="1:4" x14ac:dyDescent="0.25">
      <c r="A5" t="s">
        <v>31</v>
      </c>
      <c r="B5">
        <v>1.1451</v>
      </c>
      <c r="C5" t="s">
        <v>30</v>
      </c>
    </row>
    <row r="6" spans="1:4" x14ac:dyDescent="0.25">
      <c r="A6" t="s">
        <v>32</v>
      </c>
      <c r="B6">
        <f>B3*(B5-B4)/1000</f>
        <v>33.950000000000003</v>
      </c>
      <c r="C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FD66-D471-41FA-B2F9-11B3EB541BDB}">
  <dimension ref="A1:M40"/>
  <sheetViews>
    <sheetView topLeftCell="A7" workbookViewId="0">
      <selection activeCell="B16" sqref="B16"/>
    </sheetView>
  </sheetViews>
  <sheetFormatPr defaultRowHeight="15" x14ac:dyDescent="0.25"/>
  <cols>
    <col min="1" max="1" width="41.85546875" style="23" customWidth="1"/>
    <col min="2" max="2" width="22.7109375" style="23" customWidth="1"/>
    <col min="3" max="3" width="13.85546875" style="18" customWidth="1"/>
    <col min="4" max="4" width="65" style="23" customWidth="1"/>
    <col min="5" max="7" width="9.140625" style="23"/>
    <col min="8" max="8" width="24.85546875" style="23" customWidth="1"/>
    <col min="9" max="16384" width="9.140625" style="23"/>
  </cols>
  <sheetData>
    <row r="1" spans="1:13" ht="18" x14ac:dyDescent="0.25">
      <c r="A1" s="2" t="s">
        <v>37</v>
      </c>
    </row>
    <row r="2" spans="1:13" ht="2.25" customHeight="1" x14ac:dyDescent="0.25"/>
    <row r="3" spans="1:13" x14ac:dyDescent="0.25">
      <c r="A3" s="13" t="s">
        <v>55</v>
      </c>
      <c r="B3" s="13"/>
      <c r="C3" s="17"/>
      <c r="D3" s="13"/>
      <c r="E3" s="13"/>
      <c r="F3" s="13"/>
      <c r="G3" s="13" t="s">
        <v>8</v>
      </c>
      <c r="H3" s="13" t="s">
        <v>9</v>
      </c>
      <c r="I3" s="13"/>
      <c r="J3" s="13"/>
      <c r="K3" s="13"/>
      <c r="L3" s="13"/>
      <c r="M3" s="13"/>
    </row>
    <row r="4" spans="1:13" ht="15.75" x14ac:dyDescent="0.25">
      <c r="A4" s="13" t="s">
        <v>6</v>
      </c>
      <c r="B4" s="14">
        <f>Summary!C15</f>
        <v>3411</v>
      </c>
      <c r="C4" s="17"/>
      <c r="D4" s="13"/>
      <c r="E4" s="13"/>
      <c r="F4" s="13"/>
      <c r="G4" s="13">
        <v>3411</v>
      </c>
      <c r="H4" s="13">
        <v>200</v>
      </c>
      <c r="I4" s="13" t="s">
        <v>57</v>
      </c>
      <c r="J4" s="13"/>
      <c r="K4" s="13"/>
      <c r="L4" s="13"/>
      <c r="M4" s="13"/>
    </row>
    <row r="5" spans="1:13" x14ac:dyDescent="0.25">
      <c r="A5" s="13" t="s">
        <v>71</v>
      </c>
      <c r="B5" s="30" t="str">
        <f>VLOOKUP(B4,G4:I21,3)</f>
        <v>Yes</v>
      </c>
      <c r="C5" s="17"/>
      <c r="D5" s="13"/>
      <c r="E5" s="13"/>
      <c r="F5" s="13"/>
      <c r="G5" s="13" t="s">
        <v>7</v>
      </c>
      <c r="H5" s="13">
        <v>176</v>
      </c>
      <c r="I5" s="13" t="s">
        <v>57</v>
      </c>
      <c r="J5" s="13"/>
      <c r="K5" s="13"/>
      <c r="L5" s="13"/>
      <c r="M5" s="13"/>
    </row>
    <row r="6" spans="1:13" ht="15.75" x14ac:dyDescent="0.25">
      <c r="A6" s="13" t="s">
        <v>68</v>
      </c>
      <c r="B6" s="27">
        <f>Summary!C21</f>
        <v>1000</v>
      </c>
      <c r="C6" s="17" t="s">
        <v>19</v>
      </c>
      <c r="D6" s="13" t="s">
        <v>67</v>
      </c>
      <c r="E6" s="13"/>
      <c r="F6" s="13"/>
      <c r="G6" s="13">
        <v>3412</v>
      </c>
      <c r="H6" s="13">
        <v>200</v>
      </c>
      <c r="I6" s="13" t="s">
        <v>57</v>
      </c>
      <c r="J6" s="13"/>
      <c r="K6" s="13"/>
      <c r="L6" s="13"/>
      <c r="M6" s="13"/>
    </row>
    <row r="7" spans="1:13" ht="15.75" x14ac:dyDescent="0.25">
      <c r="A7" s="13" t="s">
        <v>70</v>
      </c>
      <c r="B7" s="27">
        <f>Summary!C22</f>
        <v>1000</v>
      </c>
      <c r="C7" s="17" t="s">
        <v>19</v>
      </c>
      <c r="D7" s="13"/>
      <c r="E7" s="13"/>
      <c r="F7" s="13"/>
      <c r="G7" s="13">
        <v>3414</v>
      </c>
      <c r="H7" s="13">
        <v>200</v>
      </c>
      <c r="I7" s="13" t="s">
        <v>57</v>
      </c>
      <c r="J7" s="13"/>
      <c r="K7" s="13"/>
      <c r="L7" s="13"/>
      <c r="M7" s="13"/>
    </row>
    <row r="8" spans="1:13" ht="15.75" x14ac:dyDescent="0.25">
      <c r="A8" s="13" t="s">
        <v>59</v>
      </c>
      <c r="B8" s="27">
        <f>Summary!C23</f>
        <v>200000</v>
      </c>
      <c r="C8" s="17" t="s">
        <v>27</v>
      </c>
      <c r="D8" s="13">
        <f>B8*0.454/1000</f>
        <v>90.8</v>
      </c>
      <c r="E8" s="13"/>
      <c r="F8" s="13"/>
      <c r="G8" s="13">
        <v>3401</v>
      </c>
      <c r="H8" s="13">
        <v>176</v>
      </c>
      <c r="I8" s="13" t="s">
        <v>58</v>
      </c>
      <c r="J8" s="13"/>
      <c r="K8" s="13"/>
      <c r="L8" s="13"/>
      <c r="M8" s="13"/>
    </row>
    <row r="9" spans="1:13" x14ac:dyDescent="0.25">
      <c r="A9" s="13" t="s">
        <v>69</v>
      </c>
      <c r="B9" s="30">
        <f>B8/B7</f>
        <v>200</v>
      </c>
      <c r="C9" s="17" t="s">
        <v>0</v>
      </c>
      <c r="D9" s="13"/>
      <c r="E9" s="13"/>
      <c r="F9" s="13"/>
      <c r="G9" s="13">
        <v>3501</v>
      </c>
      <c r="H9" s="13">
        <v>200</v>
      </c>
      <c r="I9" s="13" t="s">
        <v>57</v>
      </c>
      <c r="J9" s="13"/>
      <c r="K9" s="13"/>
      <c r="L9" s="13"/>
      <c r="M9" s="13"/>
    </row>
    <row r="10" spans="1:13" ht="15.75" x14ac:dyDescent="0.25">
      <c r="A10" s="13" t="s">
        <v>60</v>
      </c>
      <c r="B10" s="28" t="str">
        <f>Summary!C24</f>
        <v>Bags</v>
      </c>
      <c r="C10" s="17"/>
      <c r="D10" s="13"/>
      <c r="E10" s="13"/>
      <c r="F10" s="13"/>
      <c r="G10" s="13">
        <v>3520</v>
      </c>
      <c r="H10" s="13">
        <v>200</v>
      </c>
      <c r="I10" s="13" t="s">
        <v>56</v>
      </c>
      <c r="J10" s="13"/>
      <c r="K10" s="13"/>
      <c r="L10" s="13"/>
      <c r="M10" s="13"/>
    </row>
    <row r="11" spans="1:13" ht="15.75" x14ac:dyDescent="0.25">
      <c r="A11" s="13" t="s">
        <v>62</v>
      </c>
      <c r="B11" s="27">
        <f>Summary!C25</f>
        <v>30</v>
      </c>
      <c r="C11" s="17" t="s">
        <v>63</v>
      </c>
      <c r="D11" s="13" t="s">
        <v>64</v>
      </c>
      <c r="E11" s="13"/>
      <c r="F11" s="13"/>
      <c r="G11" s="13">
        <v>3522</v>
      </c>
      <c r="H11" s="13">
        <v>200</v>
      </c>
      <c r="I11" s="13" t="s">
        <v>56</v>
      </c>
      <c r="J11" s="13"/>
      <c r="K11" s="13"/>
      <c r="L11" s="13"/>
      <c r="M11" s="13"/>
    </row>
    <row r="12" spans="1:13" ht="15.75" x14ac:dyDescent="0.25">
      <c r="A12" s="13" t="s">
        <v>74</v>
      </c>
      <c r="B12" s="29"/>
      <c r="C12" s="17"/>
      <c r="D12" s="13"/>
      <c r="E12" s="13"/>
      <c r="F12" s="13"/>
      <c r="G12" s="13">
        <v>3527</v>
      </c>
      <c r="H12" s="13">
        <v>176</v>
      </c>
      <c r="I12" s="13" t="s">
        <v>56</v>
      </c>
      <c r="J12" s="13"/>
      <c r="K12" s="13"/>
      <c r="L12" s="13"/>
      <c r="M12" s="13"/>
    </row>
    <row r="13" spans="1:13" ht="15.75" x14ac:dyDescent="0.25">
      <c r="A13" s="13" t="s">
        <v>73</v>
      </c>
      <c r="B13" s="27">
        <f>Summary!C27</f>
        <v>0.88</v>
      </c>
      <c r="C13" s="17" t="s">
        <v>53</v>
      </c>
      <c r="D13" s="13"/>
      <c r="E13" s="13"/>
      <c r="F13" s="13"/>
      <c r="G13" s="13">
        <v>3537</v>
      </c>
      <c r="H13" s="13">
        <v>200</v>
      </c>
      <c r="I13" s="13" t="s">
        <v>57</v>
      </c>
      <c r="J13" s="13"/>
      <c r="K13" s="13"/>
      <c r="L13" s="13"/>
      <c r="M13" s="13"/>
    </row>
    <row r="14" spans="1:13" ht="15.75" x14ac:dyDescent="0.25">
      <c r="A14" s="13" t="s">
        <v>75</v>
      </c>
      <c r="B14" s="27">
        <f>Summary!C28</f>
        <v>32</v>
      </c>
      <c r="C14" s="17" t="s">
        <v>53</v>
      </c>
      <c r="D14" s="13"/>
      <c r="E14" s="13"/>
      <c r="F14" s="13"/>
      <c r="G14" s="13">
        <v>1411</v>
      </c>
      <c r="H14" s="13">
        <v>210</v>
      </c>
      <c r="I14" s="13" t="s">
        <v>58</v>
      </c>
      <c r="J14" s="13"/>
      <c r="K14" s="13"/>
      <c r="L14" s="13"/>
      <c r="M14" s="13"/>
    </row>
    <row r="15" spans="1:13" ht="15.75" x14ac:dyDescent="0.25">
      <c r="A15" s="13" t="s">
        <v>76</v>
      </c>
      <c r="B15" s="27">
        <f>Summary!C29</f>
        <v>12</v>
      </c>
      <c r="C15" s="17" t="s">
        <v>53</v>
      </c>
      <c r="D15" s="13"/>
      <c r="E15" s="13"/>
      <c r="F15" s="13"/>
      <c r="G15" s="13">
        <v>3566</v>
      </c>
      <c r="H15" s="13">
        <v>200</v>
      </c>
      <c r="I15" s="13" t="s">
        <v>57</v>
      </c>
      <c r="J15" s="13"/>
      <c r="K15" s="13"/>
      <c r="L15" s="13"/>
      <c r="M15" s="13"/>
    </row>
    <row r="16" spans="1:13" ht="15.75" x14ac:dyDescent="0.25">
      <c r="A16" s="13"/>
      <c r="B16" s="15"/>
      <c r="C16" s="17"/>
      <c r="D16" s="13"/>
      <c r="E16" s="13"/>
      <c r="F16" s="13"/>
      <c r="G16" s="13">
        <v>3546</v>
      </c>
      <c r="H16" s="13">
        <v>189</v>
      </c>
      <c r="I16" s="13" t="s">
        <v>58</v>
      </c>
      <c r="J16" s="13"/>
      <c r="K16" s="13"/>
      <c r="L16" s="13"/>
      <c r="M16" s="13"/>
    </row>
    <row r="17" spans="1:13" ht="15.75" x14ac:dyDescent="0.25">
      <c r="A17" s="24" t="s">
        <v>65</v>
      </c>
      <c r="B17" s="13"/>
      <c r="C17" s="17"/>
      <c r="D17" s="13"/>
      <c r="E17" s="13"/>
      <c r="F17" s="13"/>
      <c r="G17" s="13">
        <v>3601</v>
      </c>
      <c r="H17" s="13">
        <v>175</v>
      </c>
      <c r="I17" s="13" t="s">
        <v>58</v>
      </c>
      <c r="J17" s="13"/>
      <c r="K17" s="13"/>
      <c r="L17" s="13"/>
      <c r="M17" s="13"/>
    </row>
    <row r="18" spans="1:13" x14ac:dyDescent="0.25">
      <c r="A18" s="13" t="s">
        <v>39</v>
      </c>
      <c r="B18" s="13" t="s">
        <v>40</v>
      </c>
      <c r="C18" s="31">
        <f>B8</f>
        <v>200000</v>
      </c>
      <c r="D18" s="13"/>
      <c r="E18" s="13"/>
      <c r="F18" s="13"/>
      <c r="G18" s="13">
        <v>3681</v>
      </c>
      <c r="H18" s="13">
        <v>175</v>
      </c>
      <c r="I18" s="13" t="s">
        <v>58</v>
      </c>
      <c r="J18" s="13"/>
      <c r="K18" s="13"/>
      <c r="L18" s="13"/>
      <c r="M18" s="13"/>
    </row>
    <row r="19" spans="1:13" x14ac:dyDescent="0.25">
      <c r="A19" s="25" t="s">
        <v>41</v>
      </c>
      <c r="B19" s="13" t="s">
        <v>42</v>
      </c>
      <c r="C19" s="32">
        <v>0.52631578947368418</v>
      </c>
      <c r="D19" s="13"/>
      <c r="E19" s="13"/>
      <c r="F19" s="13"/>
      <c r="G19" s="13">
        <v>3710</v>
      </c>
      <c r="H19" s="13">
        <v>178</v>
      </c>
      <c r="I19" s="13" t="s">
        <v>56</v>
      </c>
      <c r="J19" s="13"/>
      <c r="K19" s="13"/>
      <c r="L19" s="13"/>
      <c r="M19" s="13"/>
    </row>
    <row r="20" spans="1:13" x14ac:dyDescent="0.25">
      <c r="A20" s="25" t="s">
        <v>43</v>
      </c>
      <c r="B20" s="13" t="s">
        <v>44</v>
      </c>
      <c r="C20" s="32">
        <v>0.14736842105263157</v>
      </c>
      <c r="D20" s="13"/>
      <c r="E20" s="13"/>
      <c r="F20" s="13"/>
      <c r="G20" s="13">
        <v>3760</v>
      </c>
      <c r="H20" s="13">
        <v>160</v>
      </c>
      <c r="I20" s="13" t="s">
        <v>56</v>
      </c>
      <c r="J20" s="13"/>
      <c r="K20" s="13"/>
      <c r="L20" s="13"/>
      <c r="M20" s="13"/>
    </row>
    <row r="21" spans="1:13" x14ac:dyDescent="0.25">
      <c r="A21" s="25" t="s">
        <v>45</v>
      </c>
      <c r="B21" s="13" t="s">
        <v>27</v>
      </c>
      <c r="C21" s="33">
        <f>C19*C18</f>
        <v>105263.15789473684</v>
      </c>
      <c r="D21" s="13"/>
      <c r="E21" s="13"/>
      <c r="F21" s="13"/>
      <c r="G21" s="13">
        <v>3741</v>
      </c>
      <c r="H21" s="13">
        <v>200</v>
      </c>
      <c r="I21" s="13" t="s">
        <v>57</v>
      </c>
      <c r="J21" s="13"/>
      <c r="K21" s="13"/>
      <c r="L21" s="13"/>
      <c r="M21" s="13"/>
    </row>
    <row r="22" spans="1:13" x14ac:dyDescent="0.25">
      <c r="A22" s="25" t="s">
        <v>46</v>
      </c>
      <c r="B22" s="13" t="s">
        <v>47</v>
      </c>
      <c r="C22" s="33">
        <f>C20*C18</f>
        <v>29473.684210526313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x14ac:dyDescent="0.25">
      <c r="A23" s="25" t="s">
        <v>48</v>
      </c>
      <c r="B23" s="13" t="s">
        <v>49</v>
      </c>
      <c r="C23" s="16">
        <v>0.09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25">
      <c r="A24" s="13" t="s">
        <v>50</v>
      </c>
      <c r="B24" s="13" t="s">
        <v>51</v>
      </c>
      <c r="C24" s="16">
        <v>3.6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5">
      <c r="A25" s="25" t="s">
        <v>52</v>
      </c>
      <c r="B25" s="13" t="s">
        <v>16</v>
      </c>
      <c r="C25" s="34">
        <f>(C23*C22+C24*C21/1000)/1000</f>
        <v>3.0315789473684203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5">
      <c r="A26" s="25" t="s">
        <v>10</v>
      </c>
      <c r="B26" s="13" t="s">
        <v>23</v>
      </c>
      <c r="C26" s="33">
        <f>VLOOKUP(B4,G4:H21,2)</f>
        <v>200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25">
      <c r="A27" s="13" t="s">
        <v>3</v>
      </c>
      <c r="B27" s="13" t="s">
        <v>4</v>
      </c>
      <c r="C27" s="16">
        <v>100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x14ac:dyDescent="0.25">
      <c r="A28" s="25" t="s">
        <v>72</v>
      </c>
      <c r="B28" s="13" t="s">
        <v>16</v>
      </c>
      <c r="C28" s="35">
        <f>(B9*B6*0.454/1000)/C26*C27</f>
        <v>45.4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x14ac:dyDescent="0.25">
      <c r="A29" s="13" t="s">
        <v>12</v>
      </c>
      <c r="B29" s="13" t="s">
        <v>13</v>
      </c>
      <c r="C29" s="16">
        <v>75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x14ac:dyDescent="0.25">
      <c r="A30" s="13" t="s">
        <v>5</v>
      </c>
      <c r="B30" s="39" t="s">
        <v>16</v>
      </c>
      <c r="C30" s="34">
        <f>B9*B6/2.2/1000*C29/1000</f>
        <v>6.8181818181818175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ht="15.75" x14ac:dyDescent="0.25">
      <c r="A31" s="25" t="s">
        <v>66</v>
      </c>
      <c r="B31" s="13" t="s">
        <v>16</v>
      </c>
      <c r="C31" s="36">
        <f>C28+C30</f>
        <v>52.218181818181819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ht="15.75" x14ac:dyDescent="0.25">
      <c r="A32" s="25"/>
      <c r="B32" s="13"/>
      <c r="C32" s="21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15.75" x14ac:dyDescent="0.25">
      <c r="A33" s="24" t="s">
        <v>77</v>
      </c>
      <c r="B33" s="13"/>
      <c r="C33" s="19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1:13" x14ac:dyDescent="0.25">
      <c r="A34" s="25" t="s">
        <v>78</v>
      </c>
      <c r="B34" s="13" t="s">
        <v>53</v>
      </c>
      <c r="C34" s="37">
        <f>IF(B10="Bags",B13,IF(B10="Box",B14,B15))</f>
        <v>0.88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1:13" x14ac:dyDescent="0.25">
      <c r="A35" s="25" t="s">
        <v>79</v>
      </c>
      <c r="B35" s="13" t="s">
        <v>80</v>
      </c>
      <c r="C35" s="33">
        <f>B11</f>
        <v>30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3" ht="15.75" x14ac:dyDescent="0.25">
      <c r="A36" s="25" t="s">
        <v>54</v>
      </c>
      <c r="B36" s="13" t="s">
        <v>16</v>
      </c>
      <c r="C36" s="36">
        <f>B8/C35*C34/1000</f>
        <v>5.8666666666666671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3" ht="15.75" x14ac:dyDescent="0.25">
      <c r="A37" s="25"/>
      <c r="B37" s="13"/>
      <c r="C37" s="20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.75" x14ac:dyDescent="0.25">
      <c r="A38" s="24" t="s">
        <v>81</v>
      </c>
      <c r="B38" s="13"/>
      <c r="C38" s="20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ht="31.5" x14ac:dyDescent="0.25">
      <c r="A39" s="26" t="s">
        <v>82</v>
      </c>
      <c r="B39" s="13" t="s">
        <v>16</v>
      </c>
      <c r="C39" s="22">
        <f>C36+C31</f>
        <v>58.084848484848486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 x14ac:dyDescent="0.25">
      <c r="A40" s="13"/>
      <c r="B40" s="13"/>
      <c r="C40" s="17"/>
      <c r="D40" s="13"/>
      <c r="E40" s="13"/>
      <c r="F40" s="13"/>
      <c r="G40" s="13"/>
      <c r="H40" s="13"/>
      <c r="I40" s="13"/>
      <c r="J40" s="13"/>
      <c r="K40" s="13"/>
      <c r="L40" s="13"/>
      <c r="M40" s="13"/>
    </row>
  </sheetData>
  <dataValidations count="1">
    <dataValidation type="list" allowBlank="1" showInputMessage="1" showErrorMessage="1" sqref="B10" xr:uid="{5CC67E24-FB1C-4FCA-8676-CF95B20A3333}">
      <formula1>"Box, Single sacks, Double stack supersacks, Bags"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6CB5-7F10-4511-967A-9857CD02DC14}">
  <dimension ref="A1:D82"/>
  <sheetViews>
    <sheetView workbookViewId="0">
      <selection activeCell="B13" sqref="B13"/>
    </sheetView>
  </sheetViews>
  <sheetFormatPr defaultRowHeight="14.25" x14ac:dyDescent="0.25"/>
  <cols>
    <col min="1" max="1" width="32.5703125" style="38" customWidth="1"/>
    <col min="2" max="2" width="10.85546875" style="38" customWidth="1"/>
    <col min="3" max="3" width="12.28515625" style="38" bestFit="1" customWidth="1"/>
    <col min="4" max="16384" width="9.140625" style="38"/>
  </cols>
  <sheetData>
    <row r="1" spans="1:4" ht="18" x14ac:dyDescent="0.25">
      <c r="A1" s="2" t="s">
        <v>37</v>
      </c>
    </row>
    <row r="2" spans="1:4" ht="3" customHeight="1" x14ac:dyDescent="0.25"/>
    <row r="3" spans="1:4" s="13" customFormat="1" ht="15.75" x14ac:dyDescent="0.25">
      <c r="A3" s="13" t="s">
        <v>83</v>
      </c>
      <c r="B3" s="60">
        <f>Summary!C30</f>
        <v>20000</v>
      </c>
      <c r="C3" s="13" t="s">
        <v>40</v>
      </c>
    </row>
    <row r="4" spans="1:4" s="13" customFormat="1" ht="15.75" x14ac:dyDescent="0.25">
      <c r="A4" s="13" t="s">
        <v>84</v>
      </c>
      <c r="B4" s="28" t="str">
        <f>Summary!C31</f>
        <v>Bags</v>
      </c>
    </row>
    <row r="5" spans="1:4" s="13" customFormat="1" ht="15.75" x14ac:dyDescent="0.25">
      <c r="A5" s="13" t="s">
        <v>62</v>
      </c>
      <c r="B5" s="27">
        <f>Summary!C32</f>
        <v>30</v>
      </c>
      <c r="C5" s="17" t="s">
        <v>63</v>
      </c>
      <c r="D5" s="13" t="s">
        <v>64</v>
      </c>
    </row>
    <row r="6" spans="1:4" s="13" customFormat="1" ht="15.75" x14ac:dyDescent="0.25">
      <c r="A6" s="13" t="s">
        <v>74</v>
      </c>
      <c r="B6" s="29"/>
      <c r="C6" s="17"/>
    </row>
    <row r="7" spans="1:4" s="13" customFormat="1" ht="15.75" x14ac:dyDescent="0.25">
      <c r="A7" s="13" t="s">
        <v>73</v>
      </c>
      <c r="B7" s="27">
        <f>Summary!C34</f>
        <v>0.88</v>
      </c>
      <c r="C7" s="17" t="s">
        <v>53</v>
      </c>
    </row>
    <row r="8" spans="1:4" s="13" customFormat="1" ht="15.75" x14ac:dyDescent="0.25">
      <c r="A8" s="13" t="s">
        <v>75</v>
      </c>
      <c r="B8" s="27">
        <f>Summary!C35</f>
        <v>32</v>
      </c>
      <c r="C8" s="17" t="s">
        <v>53</v>
      </c>
    </row>
    <row r="9" spans="1:4" s="13" customFormat="1" ht="15.75" x14ac:dyDescent="0.25">
      <c r="A9" s="13" t="s">
        <v>76</v>
      </c>
      <c r="B9" s="27">
        <f>Summary!C36</f>
        <v>12</v>
      </c>
      <c r="C9" s="17" t="s">
        <v>53</v>
      </c>
    </row>
    <row r="10" spans="1:4" s="13" customFormat="1" ht="15.75" x14ac:dyDescent="0.25">
      <c r="A10" s="13" t="s">
        <v>85</v>
      </c>
      <c r="B10" s="27">
        <f>Summary!C37</f>
        <v>1</v>
      </c>
      <c r="C10" s="13" t="s">
        <v>86</v>
      </c>
    </row>
    <row r="11" spans="1:4" s="13" customFormat="1" ht="15.75" x14ac:dyDescent="0.25">
      <c r="A11" s="13" t="s">
        <v>87</v>
      </c>
      <c r="B11" s="27">
        <f>Summary!C38</f>
        <v>24</v>
      </c>
      <c r="C11" s="13" t="s">
        <v>88</v>
      </c>
    </row>
    <row r="12" spans="1:4" s="13" customFormat="1" ht="15.75" x14ac:dyDescent="0.25">
      <c r="A12" s="13" t="s">
        <v>89</v>
      </c>
      <c r="B12" s="27">
        <f>Summary!C39</f>
        <v>35</v>
      </c>
      <c r="C12" s="13" t="s">
        <v>90</v>
      </c>
    </row>
    <row r="13" spans="1:4" s="13" customFormat="1" ht="15" x14ac:dyDescent="0.25">
      <c r="A13" s="25" t="s">
        <v>78</v>
      </c>
      <c r="B13" s="40">
        <f>IF(B4="Bags",B7,IF(B4="Box",B8,B9))</f>
        <v>0.88</v>
      </c>
      <c r="C13" s="13" t="s">
        <v>53</v>
      </c>
    </row>
    <row r="14" spans="1:4" s="13" customFormat="1" ht="15" x14ac:dyDescent="0.25">
      <c r="A14" s="13" t="s">
        <v>91</v>
      </c>
      <c r="B14" s="41">
        <f>ROUND(B3/B5,0)*B13/1000</f>
        <v>0.58696000000000004</v>
      </c>
      <c r="C14" s="13" t="s">
        <v>16</v>
      </c>
    </row>
    <row r="15" spans="1:4" s="13" customFormat="1" ht="15" x14ac:dyDescent="0.25">
      <c r="A15" s="13" t="s">
        <v>92</v>
      </c>
      <c r="B15" s="40">
        <f>B10*B11*B12/1000</f>
        <v>0.84</v>
      </c>
      <c r="C15" s="13" t="s">
        <v>16</v>
      </c>
    </row>
    <row r="16" spans="1:4" s="13" customFormat="1" ht="15.75" x14ac:dyDescent="0.25">
      <c r="A16" s="13" t="s">
        <v>93</v>
      </c>
      <c r="B16" s="42">
        <f>B14+B15</f>
        <v>1.42696</v>
      </c>
      <c r="C16" s="13" t="s">
        <v>16</v>
      </c>
    </row>
    <row r="17" s="13" customFormat="1" ht="15" x14ac:dyDescent="0.25"/>
    <row r="18" s="13" customFormat="1" ht="15" x14ac:dyDescent="0.25"/>
    <row r="19" s="13" customFormat="1" ht="15" x14ac:dyDescent="0.25"/>
    <row r="20" s="13" customFormat="1" ht="15" x14ac:dyDescent="0.25"/>
    <row r="21" s="13" customFormat="1" ht="15" x14ac:dyDescent="0.25"/>
    <row r="22" s="13" customFormat="1" ht="15" x14ac:dyDescent="0.25"/>
    <row r="23" s="13" customFormat="1" ht="15" x14ac:dyDescent="0.25"/>
    <row r="24" s="13" customFormat="1" ht="15" x14ac:dyDescent="0.25"/>
    <row r="25" s="13" customFormat="1" ht="15" x14ac:dyDescent="0.25"/>
    <row r="26" s="13" customFormat="1" ht="15" x14ac:dyDescent="0.25"/>
    <row r="27" s="13" customFormat="1" ht="15" x14ac:dyDescent="0.25"/>
    <row r="28" s="13" customFormat="1" ht="15" x14ac:dyDescent="0.25"/>
    <row r="29" s="13" customFormat="1" ht="15" x14ac:dyDescent="0.25"/>
    <row r="30" s="13" customFormat="1" ht="15" x14ac:dyDescent="0.25"/>
    <row r="31" s="13" customFormat="1" ht="15" x14ac:dyDescent="0.25"/>
    <row r="32" s="13" customFormat="1" ht="15" x14ac:dyDescent="0.25"/>
    <row r="33" s="13" customFormat="1" ht="15" x14ac:dyDescent="0.25"/>
    <row r="34" s="13" customFormat="1" ht="15" x14ac:dyDescent="0.25"/>
    <row r="35" s="13" customFormat="1" ht="15" x14ac:dyDescent="0.25"/>
    <row r="36" s="13" customFormat="1" ht="15" x14ac:dyDescent="0.25"/>
    <row r="37" s="13" customFormat="1" ht="15" x14ac:dyDescent="0.25"/>
    <row r="38" s="13" customFormat="1" ht="15" x14ac:dyDescent="0.25"/>
    <row r="39" s="13" customFormat="1" ht="15" x14ac:dyDescent="0.25"/>
    <row r="40" s="13" customFormat="1" ht="15" x14ac:dyDescent="0.25"/>
    <row r="41" s="13" customFormat="1" ht="15" x14ac:dyDescent="0.25"/>
    <row r="42" s="13" customFormat="1" ht="15" x14ac:dyDescent="0.25"/>
    <row r="43" s="13" customFormat="1" ht="15" x14ac:dyDescent="0.25"/>
    <row r="44" s="13" customFormat="1" ht="15" x14ac:dyDescent="0.25"/>
    <row r="45" s="13" customFormat="1" ht="15" x14ac:dyDescent="0.25"/>
    <row r="46" s="13" customFormat="1" ht="15" x14ac:dyDescent="0.25"/>
    <row r="47" s="13" customFormat="1" ht="15" x14ac:dyDescent="0.25"/>
    <row r="48" s="13" customFormat="1" ht="15" x14ac:dyDescent="0.25"/>
    <row r="49" s="13" customFormat="1" ht="15" x14ac:dyDescent="0.25"/>
    <row r="50" s="13" customFormat="1" ht="15" x14ac:dyDescent="0.25"/>
    <row r="51" s="13" customFormat="1" ht="15" x14ac:dyDescent="0.25"/>
    <row r="52" s="13" customFormat="1" ht="15" x14ac:dyDescent="0.25"/>
    <row r="53" s="13" customFormat="1" ht="15" x14ac:dyDescent="0.25"/>
    <row r="54" s="13" customFormat="1" ht="15" x14ac:dyDescent="0.25"/>
    <row r="55" s="13" customFormat="1" ht="15" x14ac:dyDescent="0.25"/>
    <row r="56" s="13" customFormat="1" ht="15" x14ac:dyDescent="0.25"/>
    <row r="57" s="13" customFormat="1" ht="15" x14ac:dyDescent="0.25"/>
    <row r="58" s="13" customFormat="1" ht="15" x14ac:dyDescent="0.25"/>
    <row r="59" s="13" customFormat="1" ht="15" x14ac:dyDescent="0.25"/>
    <row r="60" s="13" customFormat="1" ht="15" x14ac:dyDescent="0.25"/>
    <row r="61" s="13" customFormat="1" ht="15" x14ac:dyDescent="0.25"/>
    <row r="62" s="13" customFormat="1" ht="15" x14ac:dyDescent="0.25"/>
    <row r="63" s="13" customFormat="1" ht="15" x14ac:dyDescent="0.25"/>
    <row r="64" s="13" customFormat="1" ht="15" x14ac:dyDescent="0.25"/>
    <row r="65" s="13" customFormat="1" ht="15" x14ac:dyDescent="0.25"/>
    <row r="66" s="13" customFormat="1" ht="15" x14ac:dyDescent="0.25"/>
    <row r="67" s="13" customFormat="1" ht="15" x14ac:dyDescent="0.25"/>
    <row r="68" s="13" customFormat="1" ht="15" x14ac:dyDescent="0.25"/>
    <row r="69" s="13" customFormat="1" ht="15" x14ac:dyDescent="0.25"/>
    <row r="70" s="13" customFormat="1" ht="15" x14ac:dyDescent="0.25"/>
    <row r="71" s="13" customFormat="1" ht="15" x14ac:dyDescent="0.25"/>
    <row r="72" s="13" customFormat="1" ht="15" x14ac:dyDescent="0.25"/>
    <row r="73" s="13" customFormat="1" ht="15" x14ac:dyDescent="0.25"/>
    <row r="74" s="13" customFormat="1" ht="15" x14ac:dyDescent="0.25"/>
    <row r="75" s="13" customFormat="1" ht="15" x14ac:dyDescent="0.25"/>
    <row r="76" s="13" customFormat="1" ht="15" x14ac:dyDescent="0.25"/>
    <row r="77" s="13" customFormat="1" ht="15" x14ac:dyDescent="0.25"/>
    <row r="78" s="13" customFormat="1" ht="15" x14ac:dyDescent="0.25"/>
    <row r="79" s="13" customFormat="1" ht="15" x14ac:dyDescent="0.25"/>
    <row r="80" s="13" customFormat="1" ht="15" x14ac:dyDescent="0.25"/>
    <row r="81" s="13" customFormat="1" ht="15" x14ac:dyDescent="0.25"/>
    <row r="82" s="13" customFormat="1" ht="15" x14ac:dyDescent="0.25"/>
  </sheetData>
  <dataValidations count="1">
    <dataValidation type="list" allowBlank="1" showInputMessage="1" showErrorMessage="1" sqref="B4" xr:uid="{53AAB991-4222-407A-B889-417C6F1C10D1}">
      <formula1>"Box, Single sacks, Double stack supersacks, Bags"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Downtime</vt:lpstr>
      <vt:lpstr>Lower Production</vt:lpstr>
      <vt:lpstr>Scrap</vt:lpstr>
      <vt:lpstr>Cgrade</vt:lpstr>
      <vt:lpstr>Rework</vt:lpstr>
      <vt:lpstr>Repack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Lin</dc:creator>
  <cp:lastModifiedBy>Felix Lin</cp:lastModifiedBy>
  <dcterms:created xsi:type="dcterms:W3CDTF">2025-08-07T15:47:36Z</dcterms:created>
  <dcterms:modified xsi:type="dcterms:W3CDTF">2025-08-12T15:30:03Z</dcterms:modified>
</cp:coreProperties>
</file>