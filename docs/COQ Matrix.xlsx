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iferd.LCY-DOMAIN\Desktop\"/>
    </mc:Choice>
  </mc:AlternateContent>
  <xr:revisionPtr revIDLastSave="0" documentId="13_ncr:1_{6420B4B6-1F19-40D7-8435-84EA1C13D0D5}" xr6:coauthVersionLast="47" xr6:coauthVersionMax="47" xr10:uidLastSave="{00000000-0000-0000-0000-000000000000}"/>
  <bookViews>
    <workbookView xWindow="5310" yWindow="1305" windowWidth="23115" windowHeight="13155" xr2:uid="{00000000-000D-0000-FFFF-FFFF00000000}"/>
  </bookViews>
  <sheets>
    <sheet name="COQ" sheetId="1" r:id="rId1"/>
    <sheet name="Production" sheetId="2" r:id="rId2"/>
    <sheet name="Customer_Complaint" sheetId="3" r:id="rId3"/>
    <sheet name="Production Cost" sheetId="5" r:id="rId4"/>
    <sheet name="Definition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J4" i="3"/>
  <c r="G4" i="3"/>
  <c r="J3" i="3"/>
  <c r="G3" i="3"/>
  <c r="M15" i="5"/>
  <c r="L15" i="5"/>
  <c r="K15" i="5"/>
  <c r="J15" i="5"/>
  <c r="I15" i="5"/>
  <c r="H15" i="5"/>
  <c r="G15" i="5"/>
  <c r="F15" i="5"/>
  <c r="E15" i="5"/>
  <c r="E16" i="5" s="1"/>
  <c r="D15" i="5"/>
  <c r="D16" i="5" s="1"/>
  <c r="C15" i="5"/>
  <c r="C16" i="5" s="1"/>
  <c r="B15" i="5"/>
  <c r="B16" i="5" s="1"/>
  <c r="M13" i="5"/>
  <c r="M16" i="5" s="1"/>
  <c r="L13" i="5"/>
  <c r="L16" i="5" s="1"/>
  <c r="K13" i="5"/>
  <c r="K16" i="5" s="1"/>
  <c r="J13" i="5"/>
  <c r="J16" i="5" s="1"/>
  <c r="I13" i="5"/>
  <c r="I16" i="5" s="1"/>
  <c r="H13" i="5"/>
  <c r="H16" i="5" s="1"/>
  <c r="G13" i="5"/>
  <c r="G16" i="5" s="1"/>
  <c r="F13" i="5"/>
  <c r="F16" i="5" s="1"/>
  <c r="E13" i="5"/>
  <c r="D13" i="5"/>
  <c r="C13" i="5"/>
  <c r="B13" i="5"/>
  <c r="M8" i="5"/>
  <c r="M9" i="5" s="1"/>
  <c r="L8" i="5"/>
  <c r="L9" i="5" s="1"/>
  <c r="K8" i="5"/>
  <c r="K9" i="5" s="1"/>
  <c r="J8" i="5"/>
  <c r="J9" i="5" s="1"/>
  <c r="I8" i="5"/>
  <c r="I9" i="5" s="1"/>
  <c r="H8" i="5"/>
  <c r="H9" i="5" s="1"/>
  <c r="G8" i="5"/>
  <c r="G9" i="5" s="1"/>
  <c r="F8" i="5"/>
  <c r="F9" i="5" s="1"/>
  <c r="E8" i="5"/>
  <c r="E9" i="5" s="1"/>
  <c r="D8" i="5"/>
  <c r="D9" i="5" s="1"/>
  <c r="C8" i="5"/>
  <c r="C9" i="5" s="1"/>
  <c r="B8" i="5"/>
  <c r="B9" i="5" s="1"/>
  <c r="M7" i="5"/>
  <c r="L7" i="5"/>
  <c r="K7" i="5"/>
  <c r="J7" i="5"/>
  <c r="I7" i="5"/>
  <c r="H7" i="5"/>
  <c r="G7" i="5"/>
  <c r="F7" i="5"/>
  <c r="E7" i="5"/>
  <c r="D7" i="5"/>
  <c r="C7" i="5"/>
  <c r="B7" i="5"/>
  <c r="K4" i="3" l="1"/>
  <c r="F6" i="1" s="1"/>
  <c r="K3" i="3"/>
  <c r="F5" i="1" s="1"/>
  <c r="H5" i="1" s="1"/>
  <c r="I4" i="2"/>
  <c r="H4" i="2"/>
  <c r="J4" i="2" s="1"/>
  <c r="C6" i="1" s="1"/>
  <c r="I6" i="1" s="1"/>
  <c r="I3" i="2"/>
  <c r="H3" i="2"/>
  <c r="J3" i="2" s="1"/>
  <c r="C5" i="1" s="1"/>
  <c r="H6" i="1"/>
  <c r="E6" i="1"/>
  <c r="E5" i="1"/>
  <c r="I5" i="1" l="1"/>
</calcChain>
</file>

<file path=xl/sharedStrings.xml><?xml version="1.0" encoding="utf-8"?>
<sst xmlns="http://schemas.openxmlformats.org/spreadsheetml/2006/main" count="98" uniqueCount="72">
  <si>
    <t>Month</t>
  </si>
  <si>
    <t>Production COQ %</t>
  </si>
  <si>
    <t>Customer Complaint COQ %</t>
  </si>
  <si>
    <t>202601</t>
  </si>
  <si>
    <t>202602</t>
  </si>
  <si>
    <t>Term</t>
  </si>
  <si>
    <t>Definition</t>
  </si>
  <si>
    <t>Production Quality Cost</t>
  </si>
  <si>
    <t>Customer Complaint Cost</t>
  </si>
  <si>
    <t>Total Cost of Poor Quality</t>
  </si>
  <si>
    <t>Sum of internal and external failure costs expressed as a percentage of sales.</t>
  </si>
  <si>
    <t>Internal failure costs incurred before shipment, including scrap and off-spec material losses.</t>
  </si>
  <si>
    <t>Scrap Produced</t>
  </si>
  <si>
    <t>Material that cannot be recovered and is permanently lost.</t>
  </si>
  <si>
    <t>Offspec Produced</t>
  </si>
  <si>
    <t>Material that does not meet specification but may be downgraded or reworked.</t>
  </si>
  <si>
    <t>Rework Cost</t>
  </si>
  <si>
    <t>Incremental labor, energy, and handling cost required to reprocess returned or off-spec material into prime product.</t>
  </si>
  <si>
    <t>All costs incurred due to customer quality issues after shipment, excluding recovered material value.</t>
  </si>
  <si>
    <t>External Failure Cost</t>
  </si>
  <si>
    <t>Costs caused by product quality failures after delivery to the customer.</t>
  </si>
  <si>
    <t>Production Quality Cost divided by total production value.</t>
  </si>
  <si>
    <t>Customer Complaint Cost divided by sales revenue.</t>
  </si>
  <si>
    <t>Returned Product Treatment</t>
  </si>
  <si>
    <t>Returned product is reprocessed and sold as prime; therefore, no material write-off is recorded.</t>
  </si>
  <si>
    <t>MONTH</t>
  </si>
  <si>
    <t>BD Price $/LB</t>
  </si>
  <si>
    <t>Styerene Price $/LB</t>
  </si>
  <si>
    <t>Chem, NG, Pipeline Fee Price $/LB</t>
  </si>
  <si>
    <t>Fix Cost Price $/LB</t>
  </si>
  <si>
    <t>Scrap Price Price $/LB</t>
  </si>
  <si>
    <t>Production cost $/LB</t>
  </si>
  <si>
    <t>Loss due to scrap $/LB</t>
  </si>
  <si>
    <t>OFFSPEC COST</t>
  </si>
  <si>
    <t>Lost fixed cost $/LB</t>
  </si>
  <si>
    <t>Lost packaging $/LB</t>
  </si>
  <si>
    <t>Additional Labor v</t>
  </si>
  <si>
    <t>Loss due to offspec $/LB</t>
  </si>
  <si>
    <t>Production
Quality Cost ($)</t>
  </si>
  <si>
    <t>Production
Value ($)</t>
  </si>
  <si>
    <t>Production
COQ %</t>
  </si>
  <si>
    <t>Customer
Complaint Cost ($)</t>
  </si>
  <si>
    <t>Sales
Revenue ($)</t>
  </si>
  <si>
    <t>Customer
Complaint COQ %</t>
  </si>
  <si>
    <t>Total Cost of
Poor Quality %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</si>
  <si>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</si>
  <si>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</si>
  <si>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</si>
  <si>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</si>
  <si>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</si>
  <si>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</si>
  <si>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</si>
  <si>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</si>
  <si>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</si>
  <si>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</si>
  <si>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COQ Matrix</t>
  </si>
  <si>
    <t>Total
Production (lbs)</t>
  </si>
  <si>
    <t>Offspec
Produced (lbs)</t>
  </si>
  <si>
    <t>Scrap
Produced (lbs)</t>
  </si>
  <si>
    <t>Scrap
Loss ($/lb)</t>
  </si>
  <si>
    <t>Offspec
Loss ($/lb)</t>
  </si>
  <si>
    <t>Scrap
Loss ($)</t>
  </si>
  <si>
    <t>Offspec
Loss ($)</t>
  </si>
  <si>
    <t>No. of
Complaints</t>
  </si>
  <si>
    <t>Returned
Product (lbs)</t>
  </si>
  <si>
    <t>Outbound
Freight ($)</t>
  </si>
  <si>
    <t>Return
Freight ($)</t>
  </si>
  <si>
    <t>Warehousing
/ Handling ($)</t>
  </si>
  <si>
    <t>Lab
/ Investigation ($)</t>
  </si>
  <si>
    <t>Customer Credit
/ Penalty ($)</t>
  </si>
  <si>
    <t>Rework
Cost ($)</t>
  </si>
  <si>
    <t>Total Customer
Complaint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</si>
</sst>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3" tint="-0.24994659260841701"/>
      </left>
      <right style="thin">
        <color theme="0" tint="-0.24994659260841701"/>
      </right>
      <top style="thin">
        <color theme="3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3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0" tint="-0.24994659260841701"/>
      </bottom>
      <diagonal/>
    </border>
    <border>
      <left style="thin">
        <color theme="3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3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3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3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3" tint="-0.24994659260841701"/>
      </bottom>
      <diagonal/>
    </border>
    <border>
      <left style="thin">
        <color theme="0" tint="-0.24994659260841701"/>
      </left>
      <right style="thin">
        <color theme="3" tint="-0.24994659260841701"/>
      </right>
      <top style="thin">
        <color theme="0" tint="-0.24994659260841701"/>
      </top>
      <bottom style="thin">
        <color theme="3" tint="-0.24994659260841701"/>
      </bottom>
      <diagonal/>
    </border>
    <border>
      <left style="thin">
        <color theme="3" tint="-0.499984740745262"/>
      </left>
      <right style="thin">
        <color theme="0" tint="-0.24994659260841701"/>
      </right>
      <top style="thin">
        <color theme="3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3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3" tint="-0.499984740745262"/>
      </right>
      <top style="thin">
        <color theme="3" tint="-0.499984740745262"/>
      </top>
      <bottom style="thin">
        <color theme="0" tint="-0.24994659260841701"/>
      </bottom>
      <diagonal/>
    </border>
    <border>
      <left style="thin">
        <color theme="3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3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3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3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3" tint="-0.499984740745262"/>
      </bottom>
      <diagonal/>
    </border>
    <border>
      <left style="thin">
        <color theme="0" tint="-0.24994659260841701"/>
      </left>
      <right style="thin">
        <color theme="3" tint="-0.499984740745262"/>
      </right>
      <top style="thin">
        <color theme="0" tint="-0.24994659260841701"/>
      </top>
      <bottom style="thin">
        <color theme="3" tint="-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43" fontId="0" fillId="0" borderId="0" xfId="1" applyFon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43" fontId="3" fillId="0" borderId="0" xfId="0" applyNumberFormat="1" applyFont="1"/>
    <xf numFmtId="43" fontId="2" fillId="0" borderId="0" xfId="0" applyNumberFormat="1" applyFont="1"/>
    <xf numFmtId="43" fontId="3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165" fontId="0" fillId="0" borderId="6" xfId="1" applyNumberFormat="1" applyFont="1" applyBorder="1" applyAlignment="1">
      <alignment horizontal="center" vertical="center"/>
    </xf>
    <xf numFmtId="10" fontId="0" fillId="0" borderId="6" xfId="2" applyNumberFormat="1" applyFont="1" applyBorder="1" applyAlignment="1">
      <alignment horizontal="center" vertical="center"/>
    </xf>
    <xf numFmtId="10" fontId="0" fillId="0" borderId="7" xfId="2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0" xfId="0" applyFont="1"/>
    <xf numFmtId="0" fontId="2" fillId="2" borderId="2" xfId="0" applyFont="1" applyFill="1" applyBorder="1"/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0" borderId="11" xfId="0" applyFont="1" applyBorder="1"/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0" fillId="0" borderId="14" xfId="0" applyBorder="1" applyAlignment="1">
      <alignment vertical="center"/>
    </xf>
    <xf numFmtId="165" fontId="0" fillId="0" borderId="6" xfId="1" applyNumberFormat="1" applyFont="1" applyBorder="1" applyAlignment="1">
      <alignment vertical="center"/>
    </xf>
    <xf numFmtId="43" fontId="0" fillId="0" borderId="6" xfId="1" applyFont="1" applyBorder="1" applyAlignment="1">
      <alignment vertical="center"/>
    </xf>
    <xf numFmtId="165" fontId="0" fillId="0" borderId="15" xfId="1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6"/>
  <sheetViews>
    <sheetView showGridLines="0" tabSelected="1" workbookViewId="0">
      <selection activeCell="K6" sqref="K6"/>
    </sheetView>
  </sheetViews>
  <sheetFormatPr defaultRowHeight="15" x14ac:dyDescent="0.25"/>
  <cols>
    <col min="1" max="1" width="2.28515625" customWidth="1"/>
    <col min="2" max="2" width="9.28515625" customWidth="1"/>
    <col min="3" max="9" width="19.7109375" style="8" customWidth="1"/>
  </cols>
  <sheetData>
    <row r="1" spans="2:9" ht="6.75" customHeight="1" x14ac:dyDescent="0.25"/>
    <row r="2" spans="2:9" ht="23.25" x14ac:dyDescent="0.35">
      <c r="B2" s="19" t="s">
        <v>55</v>
      </c>
    </row>
    <row r="3" spans="2:9" ht="6.75" customHeight="1" x14ac:dyDescent="0.25"/>
    <row r="4" spans="2:9" ht="30" x14ac:dyDescent="0.25">
      <c r="B4" s="20" t="s">
        <v>0</v>
      </c>
      <c r="C4" s="21" t="s">
        <v>38</v>
      </c>
      <c r="D4" s="21" t="s">
        <v>39</v>
      </c>
      <c r="E4" s="21" t="s">
        <v>40</v>
      </c>
      <c r="F4" s="21" t="s">
        <v>41</v>
      </c>
      <c r="G4" s="21" t="s">
        <v>42</v>
      </c>
      <c r="H4" s="21" t="s">
        <v>43</v>
      </c>
      <c r="I4" s="22" t="s">
        <v>44</v>
      </c>
    </row>
    <row r="5" spans="2:9" s="9" customFormat="1" ht="20.25" customHeight="1" x14ac:dyDescent="0.25">
      <c r="B5" s="10" t="s">
        <v>3</v>
      </c>
      <c r="C5" s="11">
        <f>Production!J3</f>
        <v>25435.17</v>
      </c>
      <c r="D5" s="11">
        <f>Production!C3</f>
        <v>3887918</v>
      </c>
      <c r="E5" s="12">
        <f>C5/D5</f>
        <v>6.5421055690989367E-3</v>
      </c>
      <c r="F5" s="11">
        <f>Customer_Complaint!K3</f>
        <v>26720</v>
      </c>
      <c r="G5" s="11">
        <v>10259998</v>
      </c>
      <c r="H5" s="12">
        <f>F5/G5</f>
        <v>2.6042890066840167E-3</v>
      </c>
      <c r="I5" s="13">
        <f>(C5+F5)/(D5+G5)</f>
        <v>3.6864206714260954E-3</v>
      </c>
    </row>
    <row r="6" spans="2:9" s="9" customFormat="1" ht="20.25" customHeight="1" x14ac:dyDescent="0.25">
      <c r="B6" s="10" t="s">
        <v>4</v>
      </c>
      <c r="C6" s="11">
        <f>Production!J4</f>
        <v>20991.75</v>
      </c>
      <c r="D6" s="11">
        <f>Production!C4</f>
        <v>2844879</v>
      </c>
      <c r="E6" s="12">
        <f>C6/D6</f>
        <v>7.3787848270523981E-3</v>
      </c>
      <c r="F6" s="11">
        <f>Customer_Complaint!K4</f>
        <v>2800</v>
      </c>
      <c r="G6" s="11">
        <v>11506662</v>
      </c>
      <c r="H6" s="12">
        <f>F6/G6</f>
        <v>2.4333729451686336E-4</v>
      </c>
      <c r="I6" s="13">
        <f>(C6+F6)/(D6+G6)</f>
        <v>1.6577836484597717E-3</v>
      </c>
    </row>
    <row r="7" spans="2:9" s="9" customFormat="1" ht="20.25" customHeight="1" x14ac:dyDescent="0.25">
      <c r="B7" s="10" t="s">
        <v>45</v>
      </c>
      <c r="C7" s="14"/>
      <c r="D7" s="14"/>
      <c r="E7" s="14"/>
      <c r="F7" s="14"/>
      <c r="G7" s="14"/>
      <c r="H7" s="14"/>
      <c r="I7" s="15"/>
    </row>
    <row r="8" spans="2:9" s="9" customFormat="1" ht="20.25" customHeight="1" x14ac:dyDescent="0.25">
      <c r="B8" s="10" t="s">
        <v>46</v>
      </c>
      <c r="C8" s="14"/>
      <c r="D8" s="14"/>
      <c r="E8" s="14"/>
      <c r="F8" s="14"/>
      <c r="G8" s="14"/>
      <c r="H8" s="14"/>
      <c r="I8" s="15"/>
    </row>
    <row r="9" spans="2:9" s="9" customFormat="1" ht="20.25" customHeight="1" x14ac:dyDescent="0.25">
      <c r="B9" s="10" t="s">
        <v>47</v>
      </c>
      <c r="C9" s="14"/>
      <c r="D9" s="14"/>
      <c r="E9" s="14"/>
      <c r="F9" s="14"/>
      <c r="G9" s="14"/>
      <c r="H9" s="14"/>
      <c r="I9" s="15"/>
    </row>
    <row r="10" spans="2:9" s="9" customFormat="1" ht="20.25" customHeight="1" x14ac:dyDescent="0.25">
      <c r="B10" s="10" t="s">
        <v>48</v>
      </c>
      <c r="C10" s="14"/>
      <c r="D10" s="14"/>
      <c r="E10" s="14"/>
      <c r="F10" s="14"/>
      <c r="G10" s="14"/>
      <c r="H10" s="14"/>
      <c r="I10" s="15"/>
    </row>
    <row r="11" spans="2:9" s="9" customFormat="1" ht="20.25" customHeight="1" x14ac:dyDescent="0.25">
      <c r="B11" s="10" t="s">
        <v>49</v>
      </c>
      <c r="C11" s="14"/>
      <c r="D11" s="14"/>
      <c r="E11" s="14"/>
      <c r="F11" s="14"/>
      <c r="G11" s="14"/>
      <c r="H11" s="14"/>
      <c r="I11" s="15"/>
    </row>
    <row r="12" spans="2:9" s="9" customFormat="1" ht="20.25" customHeight="1" x14ac:dyDescent="0.25">
      <c r="B12" s="10" t="s">
        <v>50</v>
      </c>
      <c r="C12" s="14"/>
      <c r="D12" s="14"/>
      <c r="E12" s="14"/>
      <c r="F12" s="14"/>
      <c r="G12" s="14"/>
      <c r="H12" s="14"/>
      <c r="I12" s="15"/>
    </row>
    <row r="13" spans="2:9" s="9" customFormat="1" ht="20.25" customHeight="1" x14ac:dyDescent="0.25">
      <c r="B13" s="10" t="s">
        <v>51</v>
      </c>
      <c r="C13" s="14"/>
      <c r="D13" s="14"/>
      <c r="E13" s="14"/>
      <c r="F13" s="14"/>
      <c r="G13" s="14"/>
      <c r="H13" s="14"/>
      <c r="I13" s="15"/>
    </row>
    <row r="14" spans="2:9" s="9" customFormat="1" ht="20.25" customHeight="1" x14ac:dyDescent="0.25">
      <c r="B14" s="10" t="s">
        <v>52</v>
      </c>
      <c r="C14" s="14"/>
      <c r="D14" s="14"/>
      <c r="E14" s="14"/>
      <c r="F14" s="14"/>
      <c r="G14" s="14"/>
      <c r="H14" s="14"/>
      <c r="I14" s="15"/>
    </row>
    <row r="15" spans="2:9" s="9" customFormat="1" ht="20.25" customHeight="1" x14ac:dyDescent="0.25">
      <c r="B15" s="10" t="s">
        <v>53</v>
      </c>
      <c r="C15" s="14"/>
      <c r="D15" s="14"/>
      <c r="E15" s="14"/>
      <c r="F15" s="14"/>
      <c r="G15" s="14"/>
      <c r="H15" s="14"/>
      <c r="I15" s="15"/>
    </row>
    <row r="16" spans="2:9" s="9" customFormat="1" ht="20.25" customHeight="1" x14ac:dyDescent="0.25">
      <c r="B16" s="16" t="s">
        <v>54</v>
      </c>
      <c r="C16" s="17"/>
      <c r="D16" s="17"/>
      <c r="E16" s="17"/>
      <c r="F16" s="17"/>
      <c r="G16" s="17"/>
      <c r="H16" s="17"/>
      <c r="I16" s="18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3"/>
  <sheetViews>
    <sheetView showGridLines="0" workbookViewId="0">
      <selection activeCell="F16" sqref="F16"/>
    </sheetView>
  </sheetViews>
  <sheetFormatPr defaultRowHeight="15" x14ac:dyDescent="0.25"/>
  <cols>
    <col min="1" max="1" width="1.5703125" customWidth="1"/>
    <col min="2" max="2" width="7" bestFit="1" customWidth="1"/>
    <col min="3" max="3" width="20.28515625" bestFit="1" customWidth="1"/>
    <col min="4" max="4" width="19.28515625" bestFit="1" customWidth="1"/>
    <col min="5" max="5" width="21.5703125" bestFit="1" customWidth="1"/>
    <col min="6" max="6" width="15.42578125" bestFit="1" customWidth="1"/>
    <col min="7" max="7" width="17.7109375" bestFit="1" customWidth="1"/>
    <col min="8" max="8" width="12.7109375" bestFit="1" customWidth="1"/>
    <col min="9" max="9" width="15" bestFit="1" customWidth="1"/>
    <col min="10" max="10" width="25.140625" bestFit="1" customWidth="1"/>
  </cols>
  <sheetData>
    <row r="1" spans="2:10" ht="8.25" customHeight="1" x14ac:dyDescent="0.25"/>
    <row r="2" spans="2:10" ht="30" x14ac:dyDescent="0.25">
      <c r="B2" s="23" t="s">
        <v>0</v>
      </c>
      <c r="C2" s="24" t="s">
        <v>56</v>
      </c>
      <c r="D2" s="24" t="s">
        <v>58</v>
      </c>
      <c r="E2" s="24" t="s">
        <v>57</v>
      </c>
      <c r="F2" s="24" t="s">
        <v>59</v>
      </c>
      <c r="G2" s="24" t="s">
        <v>60</v>
      </c>
      <c r="H2" s="24" t="s">
        <v>61</v>
      </c>
      <c r="I2" s="24" t="s">
        <v>62</v>
      </c>
      <c r="J2" s="25" t="s">
        <v>38</v>
      </c>
    </row>
    <row r="3" spans="2:10" s="9" customFormat="1" ht="21.75" customHeight="1" x14ac:dyDescent="0.25">
      <c r="B3" s="26" t="s">
        <v>3</v>
      </c>
      <c r="C3" s="27">
        <v>3887918</v>
      </c>
      <c r="D3" s="27">
        <v>41697</v>
      </c>
      <c r="E3" s="27"/>
      <c r="F3" s="28">
        <v>0.61</v>
      </c>
      <c r="G3" s="28">
        <v>0.33800000000000002</v>
      </c>
      <c r="H3" s="27">
        <f>D3*F3</f>
        <v>25435.17</v>
      </c>
      <c r="I3" s="27">
        <f>E3*G3</f>
        <v>0</v>
      </c>
      <c r="J3" s="29">
        <f>H3+I3</f>
        <v>25435.17</v>
      </c>
    </row>
    <row r="4" spans="2:10" s="9" customFormat="1" ht="21.75" customHeight="1" x14ac:dyDescent="0.25">
      <c r="B4" s="26" t="s">
        <v>4</v>
      </c>
      <c r="C4" s="27">
        <v>2844879</v>
      </c>
      <c r="D4" s="27">
        <v>27625</v>
      </c>
      <c r="E4" s="27">
        <v>12250</v>
      </c>
      <c r="F4" s="28">
        <v>0.61</v>
      </c>
      <c r="G4" s="28">
        <v>0.33800000000000002</v>
      </c>
      <c r="H4" s="27">
        <f>D4*F4</f>
        <v>16851.25</v>
      </c>
      <c r="I4" s="27">
        <f>E4*G4</f>
        <v>4140.5</v>
      </c>
      <c r="J4" s="29">
        <f>H4+I4</f>
        <v>20991.75</v>
      </c>
    </row>
    <row r="5" spans="2:10" s="9" customFormat="1" ht="21.75" customHeight="1" x14ac:dyDescent="0.25">
      <c r="B5" s="26" t="s">
        <v>45</v>
      </c>
      <c r="C5" s="30"/>
      <c r="D5" s="30"/>
      <c r="E5" s="30"/>
      <c r="F5" s="30"/>
      <c r="G5" s="30"/>
      <c r="H5" s="30"/>
      <c r="I5" s="30"/>
      <c r="J5" s="31"/>
    </row>
    <row r="6" spans="2:10" s="9" customFormat="1" ht="21.75" customHeight="1" x14ac:dyDescent="0.25">
      <c r="B6" s="26" t="s">
        <v>46</v>
      </c>
      <c r="C6" s="30"/>
      <c r="D6" s="30"/>
      <c r="E6" s="30"/>
      <c r="F6" s="30"/>
      <c r="G6" s="30"/>
      <c r="H6" s="30"/>
      <c r="I6" s="30"/>
      <c r="J6" s="31"/>
    </row>
    <row r="7" spans="2:10" s="9" customFormat="1" ht="21.75" customHeight="1" x14ac:dyDescent="0.25">
      <c r="B7" s="26" t="s">
        <v>47</v>
      </c>
      <c r="C7" s="30"/>
      <c r="D7" s="30"/>
      <c r="E7" s="30"/>
      <c r="F7" s="30"/>
      <c r="G7" s="30"/>
      <c r="H7" s="30"/>
      <c r="I7" s="30"/>
      <c r="J7" s="31"/>
    </row>
    <row r="8" spans="2:10" s="9" customFormat="1" ht="21.75" customHeight="1" x14ac:dyDescent="0.25">
      <c r="B8" s="26" t="s">
        <v>48</v>
      </c>
      <c r="C8" s="30"/>
      <c r="D8" s="30"/>
      <c r="E8" s="30"/>
      <c r="F8" s="30"/>
      <c r="G8" s="30"/>
      <c r="H8" s="30"/>
      <c r="I8" s="30"/>
      <c r="J8" s="31"/>
    </row>
    <row r="9" spans="2:10" s="9" customFormat="1" ht="21.75" customHeight="1" x14ac:dyDescent="0.25">
      <c r="B9" s="26" t="s">
        <v>49</v>
      </c>
      <c r="C9" s="30"/>
      <c r="D9" s="30"/>
      <c r="E9" s="30"/>
      <c r="F9" s="30"/>
      <c r="G9" s="30"/>
      <c r="H9" s="30"/>
      <c r="I9" s="30"/>
      <c r="J9" s="31"/>
    </row>
    <row r="10" spans="2:10" s="9" customFormat="1" ht="21.75" customHeight="1" x14ac:dyDescent="0.25">
      <c r="B10" s="26" t="s">
        <v>50</v>
      </c>
      <c r="C10" s="30"/>
      <c r="D10" s="30"/>
      <c r="E10" s="30"/>
      <c r="F10" s="30"/>
      <c r="G10" s="30"/>
      <c r="H10" s="30"/>
      <c r="I10" s="30"/>
      <c r="J10" s="31"/>
    </row>
    <row r="11" spans="2:10" s="9" customFormat="1" ht="21.75" customHeight="1" x14ac:dyDescent="0.25">
      <c r="B11" s="26" t="s">
        <v>51</v>
      </c>
      <c r="C11" s="30"/>
      <c r="D11" s="30"/>
      <c r="E11" s="30"/>
      <c r="F11" s="30"/>
      <c r="G11" s="30"/>
      <c r="H11" s="30"/>
      <c r="I11" s="30"/>
      <c r="J11" s="31"/>
    </row>
    <row r="12" spans="2:10" s="9" customFormat="1" ht="21.75" customHeight="1" x14ac:dyDescent="0.25">
      <c r="B12" s="26" t="s">
        <v>52</v>
      </c>
      <c r="C12" s="30"/>
      <c r="D12" s="30"/>
      <c r="E12" s="30"/>
      <c r="F12" s="30"/>
      <c r="G12" s="30"/>
      <c r="H12" s="30"/>
      <c r="I12" s="30"/>
      <c r="J12" s="31"/>
    </row>
    <row r="13" spans="2:10" s="9" customFormat="1" ht="21.75" customHeight="1" x14ac:dyDescent="0.25">
      <c r="B13" s="32" t="s">
        <v>53</v>
      </c>
      <c r="C13" s="33"/>
      <c r="D13" s="33"/>
      <c r="E13" s="33"/>
      <c r="F13" s="33"/>
      <c r="G13" s="33"/>
      <c r="H13" s="33"/>
      <c r="I13" s="33"/>
      <c r="J13" s="34"/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14"/>
  <sheetViews>
    <sheetView showGridLines="0" workbookViewId="0">
      <selection activeCell="I18" sqref="I18"/>
    </sheetView>
  </sheetViews>
  <sheetFormatPr defaultRowHeight="15" x14ac:dyDescent="0.25"/>
  <cols>
    <col min="1" max="1" width="1.28515625" customWidth="1"/>
    <col min="2" max="2" width="7" bestFit="1" customWidth="1"/>
    <col min="3" max="11" width="15.42578125" customWidth="1"/>
  </cols>
  <sheetData>
    <row r="1" spans="2:11" ht="10.5" customHeight="1" x14ac:dyDescent="0.25"/>
    <row r="2" spans="2:11" ht="45" x14ac:dyDescent="0.25">
      <c r="B2" s="23" t="s">
        <v>0</v>
      </c>
      <c r="C2" s="24" t="s">
        <v>63</v>
      </c>
      <c r="D2" s="24" t="s">
        <v>64</v>
      </c>
      <c r="E2" s="24" t="s">
        <v>65</v>
      </c>
      <c r="F2" s="24" t="s">
        <v>66</v>
      </c>
      <c r="G2" s="24" t="s">
        <v>67</v>
      </c>
      <c r="H2" s="24" t="s">
        <v>68</v>
      </c>
      <c r="I2" s="24" t="s">
        <v>69</v>
      </c>
      <c r="J2" s="24" t="s">
        <v>70</v>
      </c>
      <c r="K2" s="25" t="s">
        <v>71</v>
      </c>
    </row>
    <row r="3" spans="2:11" s="9" customFormat="1" ht="19.5" customHeight="1" x14ac:dyDescent="0.25">
      <c r="B3" s="26" t="s">
        <v>3</v>
      </c>
      <c r="C3" s="30">
        <v>2</v>
      </c>
      <c r="D3" s="27">
        <v>42000</v>
      </c>
      <c r="E3" s="27">
        <v>2500</v>
      </c>
      <c r="F3" s="27">
        <v>2350</v>
      </c>
      <c r="G3" s="27">
        <f>D3*0.02</f>
        <v>840</v>
      </c>
      <c r="H3" s="27">
        <v>750</v>
      </c>
      <c r="I3" s="27">
        <v>6000</v>
      </c>
      <c r="J3" s="27">
        <f>D3*0.34</f>
        <v>14280.000000000002</v>
      </c>
      <c r="K3" s="29">
        <f>SUM(E3:J3)</f>
        <v>26720</v>
      </c>
    </row>
    <row r="4" spans="2:11" s="9" customFormat="1" ht="19.5" customHeight="1" x14ac:dyDescent="0.25">
      <c r="B4" s="26" t="s">
        <v>4</v>
      </c>
      <c r="C4" s="30">
        <v>1</v>
      </c>
      <c r="D4" s="27">
        <v>0</v>
      </c>
      <c r="E4" s="27">
        <v>0</v>
      </c>
      <c r="F4" s="27">
        <v>0</v>
      </c>
      <c r="G4" s="27">
        <f>D4*0.02</f>
        <v>0</v>
      </c>
      <c r="H4" s="27">
        <v>800</v>
      </c>
      <c r="I4" s="27">
        <v>2000</v>
      </c>
      <c r="J4" s="27">
        <f>D4*0.34</f>
        <v>0</v>
      </c>
      <c r="K4" s="29">
        <f>SUM(E4:J4)</f>
        <v>2800</v>
      </c>
    </row>
    <row r="5" spans="2:11" s="9" customFormat="1" ht="19.5" customHeight="1" x14ac:dyDescent="0.25">
      <c r="B5" s="26" t="s">
        <v>45</v>
      </c>
      <c r="C5" s="30"/>
      <c r="D5" s="30"/>
      <c r="E5" s="30"/>
      <c r="F5" s="30"/>
      <c r="G5" s="30"/>
      <c r="H5" s="30"/>
      <c r="I5" s="30"/>
      <c r="J5" s="30"/>
      <c r="K5" s="31"/>
    </row>
    <row r="6" spans="2:11" s="9" customFormat="1" ht="19.5" customHeight="1" x14ac:dyDescent="0.25">
      <c r="B6" s="26" t="s">
        <v>46</v>
      </c>
      <c r="C6" s="30"/>
      <c r="D6" s="30"/>
      <c r="E6" s="30"/>
      <c r="F6" s="30"/>
      <c r="G6" s="30"/>
      <c r="H6" s="30"/>
      <c r="I6" s="30"/>
      <c r="J6" s="30"/>
      <c r="K6" s="31"/>
    </row>
    <row r="7" spans="2:11" s="9" customFormat="1" ht="19.5" customHeight="1" x14ac:dyDescent="0.25">
      <c r="B7" s="26" t="s">
        <v>47</v>
      </c>
      <c r="C7" s="30"/>
      <c r="D7" s="30"/>
      <c r="E7" s="30"/>
      <c r="F7" s="30"/>
      <c r="G7" s="30"/>
      <c r="H7" s="30"/>
      <c r="I7" s="30"/>
      <c r="J7" s="30"/>
      <c r="K7" s="31"/>
    </row>
    <row r="8" spans="2:11" s="9" customFormat="1" ht="19.5" customHeight="1" x14ac:dyDescent="0.25">
      <c r="B8" s="26" t="s">
        <v>48</v>
      </c>
      <c r="C8" s="30"/>
      <c r="D8" s="30"/>
      <c r="E8" s="30"/>
      <c r="F8" s="30"/>
      <c r="G8" s="30"/>
      <c r="H8" s="30"/>
      <c r="I8" s="30"/>
      <c r="J8" s="30"/>
      <c r="K8" s="31"/>
    </row>
    <row r="9" spans="2:11" s="9" customFormat="1" ht="19.5" customHeight="1" x14ac:dyDescent="0.25">
      <c r="B9" s="26" t="s">
        <v>49</v>
      </c>
      <c r="C9" s="30"/>
      <c r="D9" s="30"/>
      <c r="E9" s="30"/>
      <c r="F9" s="30"/>
      <c r="G9" s="30"/>
      <c r="H9" s="30"/>
      <c r="I9" s="30"/>
      <c r="J9" s="30"/>
      <c r="K9" s="31"/>
    </row>
    <row r="10" spans="2:11" s="9" customFormat="1" ht="19.5" customHeight="1" x14ac:dyDescent="0.25">
      <c r="B10" s="26" t="s">
        <v>50</v>
      </c>
      <c r="C10" s="30"/>
      <c r="D10" s="30"/>
      <c r="E10" s="30"/>
      <c r="F10" s="30"/>
      <c r="G10" s="30"/>
      <c r="H10" s="30"/>
      <c r="I10" s="30"/>
      <c r="J10" s="30"/>
      <c r="K10" s="31"/>
    </row>
    <row r="11" spans="2:11" s="9" customFormat="1" ht="19.5" customHeight="1" x14ac:dyDescent="0.25">
      <c r="B11" s="26" t="s">
        <v>51</v>
      </c>
      <c r="C11" s="30"/>
      <c r="D11" s="30"/>
      <c r="E11" s="30"/>
      <c r="F11" s="30"/>
      <c r="G11" s="30"/>
      <c r="H11" s="30"/>
      <c r="I11" s="30"/>
      <c r="J11" s="30"/>
      <c r="K11" s="31"/>
    </row>
    <row r="12" spans="2:11" s="9" customFormat="1" ht="19.5" customHeight="1" x14ac:dyDescent="0.25">
      <c r="B12" s="26" t="s">
        <v>52</v>
      </c>
      <c r="C12" s="30"/>
      <c r="D12" s="30"/>
      <c r="E12" s="30"/>
      <c r="F12" s="30"/>
      <c r="G12" s="30"/>
      <c r="H12" s="30"/>
      <c r="I12" s="30"/>
      <c r="J12" s="30"/>
      <c r="K12" s="31"/>
    </row>
    <row r="13" spans="2:11" s="9" customFormat="1" ht="19.5" customHeight="1" x14ac:dyDescent="0.25">
      <c r="B13" s="26" t="s">
        <v>53</v>
      </c>
      <c r="C13" s="30"/>
      <c r="D13" s="30"/>
      <c r="E13" s="30"/>
      <c r="F13" s="30"/>
      <c r="G13" s="30"/>
      <c r="H13" s="30"/>
      <c r="I13" s="30"/>
      <c r="J13" s="30"/>
      <c r="K13" s="31"/>
    </row>
    <row r="14" spans="2:11" s="9" customFormat="1" ht="19.5" customHeight="1" x14ac:dyDescent="0.25">
      <c r="B14" s="32" t="s">
        <v>54</v>
      </c>
      <c r="C14" s="33"/>
      <c r="D14" s="33"/>
      <c r="E14" s="33"/>
      <c r="F14" s="33"/>
      <c r="G14" s="33"/>
      <c r="H14" s="33"/>
      <c r="I14" s="33"/>
      <c r="J14" s="33"/>
      <c r="K14" s="34"/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A560-4C53-47CF-8741-B1040B303138}">
  <dimension ref="A2:M16"/>
  <sheetViews>
    <sheetView workbookViewId="0">
      <selection activeCell="G24" sqref="G24"/>
    </sheetView>
  </sheetViews>
  <sheetFormatPr defaultRowHeight="15" x14ac:dyDescent="0.25"/>
  <cols>
    <col min="1" max="1" width="31.85546875" bestFit="1" customWidth="1"/>
  </cols>
  <sheetData>
    <row r="2" spans="1:13" x14ac:dyDescent="0.25">
      <c r="A2" s="2" t="s">
        <v>25</v>
      </c>
      <c r="B2" s="2">
        <v>202601</v>
      </c>
      <c r="C2" s="2">
        <v>202602</v>
      </c>
      <c r="D2" s="2">
        <v>202603</v>
      </c>
      <c r="E2" s="2">
        <v>202604</v>
      </c>
      <c r="F2" s="2">
        <v>202605</v>
      </c>
      <c r="G2" s="2">
        <v>202606</v>
      </c>
      <c r="H2" s="2">
        <v>202607</v>
      </c>
      <c r="I2" s="2">
        <v>202608</v>
      </c>
      <c r="J2" s="2">
        <v>202609</v>
      </c>
      <c r="K2" s="2">
        <v>202610</v>
      </c>
      <c r="L2" s="2">
        <v>202611</v>
      </c>
      <c r="M2" s="2">
        <v>202612</v>
      </c>
    </row>
    <row r="3" spans="1:13" x14ac:dyDescent="0.25">
      <c r="A3" t="s">
        <v>26</v>
      </c>
      <c r="B3" s="1">
        <v>0.29399999999999998</v>
      </c>
      <c r="C3" s="1">
        <v>0.373</v>
      </c>
      <c r="D3" s="1">
        <v>0.41200000000000003</v>
      </c>
      <c r="E3" s="1">
        <v>0.51</v>
      </c>
      <c r="F3" s="1">
        <v>0.51</v>
      </c>
      <c r="G3" s="1">
        <v>0.5</v>
      </c>
      <c r="H3" s="1">
        <v>0.48</v>
      </c>
      <c r="I3" s="1">
        <v>0.46</v>
      </c>
      <c r="J3" s="1">
        <v>0.43</v>
      </c>
      <c r="K3" s="1">
        <v>0.41</v>
      </c>
      <c r="L3" s="1">
        <v>0.39</v>
      </c>
      <c r="M3" s="1">
        <v>0.39</v>
      </c>
    </row>
    <row r="4" spans="1:13" x14ac:dyDescent="0.25">
      <c r="A4" t="s">
        <v>27</v>
      </c>
      <c r="B4" s="1">
        <v>0.46700000000000003</v>
      </c>
      <c r="C4" s="1">
        <v>0.4738</v>
      </c>
      <c r="D4" s="1">
        <v>0.56219568464334047</v>
      </c>
      <c r="E4" s="1">
        <v>0.60561490051449951</v>
      </c>
      <c r="F4" s="1">
        <v>0.62263420593398144</v>
      </c>
      <c r="G4" s="1">
        <v>0.60078070160261243</v>
      </c>
      <c r="H4" s="1">
        <v>0.59105895009635745</v>
      </c>
      <c r="I4" s="1">
        <v>0.58247703801193995</v>
      </c>
      <c r="J4" s="1">
        <v>0.56820502771894998</v>
      </c>
      <c r="K4" s="1">
        <v>0.54871059299888703</v>
      </c>
      <c r="L4" s="1">
        <v>0.528592145121767</v>
      </c>
      <c r="M4" s="1">
        <v>0.50345217861075753</v>
      </c>
    </row>
    <row r="5" spans="1:13" x14ac:dyDescent="0.25">
      <c r="A5" t="s">
        <v>28</v>
      </c>
      <c r="B5" s="1">
        <v>0.18</v>
      </c>
      <c r="C5" s="1">
        <v>0.18</v>
      </c>
      <c r="D5" s="1">
        <v>0.18</v>
      </c>
      <c r="E5" s="1">
        <v>0.18</v>
      </c>
      <c r="F5" s="1">
        <v>0.18</v>
      </c>
      <c r="G5" s="1">
        <v>0.18</v>
      </c>
      <c r="H5" s="1">
        <v>0.18</v>
      </c>
      <c r="I5" s="1">
        <v>0.18</v>
      </c>
      <c r="J5" s="1">
        <v>0.18</v>
      </c>
      <c r="K5" s="1">
        <v>0.18</v>
      </c>
      <c r="L5" s="1">
        <v>0.18</v>
      </c>
      <c r="M5" s="1">
        <v>0.18</v>
      </c>
    </row>
    <row r="6" spans="1:13" x14ac:dyDescent="0.25">
      <c r="A6" t="s">
        <v>29</v>
      </c>
      <c r="B6" s="1">
        <v>0.28999999999999998</v>
      </c>
      <c r="C6" s="1">
        <v>0.28999999999999998</v>
      </c>
      <c r="D6" s="1">
        <v>0.28999999999999998</v>
      </c>
      <c r="E6" s="1">
        <v>0.28999999999999998</v>
      </c>
      <c r="F6" s="1">
        <v>0.28999999999999998</v>
      </c>
      <c r="G6" s="1">
        <v>0.28999999999999998</v>
      </c>
      <c r="H6" s="1">
        <v>0.28999999999999998</v>
      </c>
      <c r="I6" s="1">
        <v>0.28999999999999998</v>
      </c>
      <c r="J6" s="1">
        <v>0.28999999999999998</v>
      </c>
      <c r="K6" s="1">
        <v>0.28999999999999998</v>
      </c>
      <c r="L6" s="1">
        <v>0.28999999999999998</v>
      </c>
      <c r="M6" s="1">
        <v>0.28999999999999998</v>
      </c>
    </row>
    <row r="7" spans="1:13" x14ac:dyDescent="0.25">
      <c r="A7" s="4" t="s">
        <v>30</v>
      </c>
      <c r="B7" s="5">
        <f>B3*0.7+B4*0.3-0.14</f>
        <v>0.20589999999999997</v>
      </c>
      <c r="C7" s="5">
        <f t="shared" ref="C7:M7" si="0">C3*0.7+C4*0.3-0.14</f>
        <v>0.26323999999999997</v>
      </c>
      <c r="D7" s="5">
        <f t="shared" si="0"/>
        <v>0.31705870539300207</v>
      </c>
      <c r="E7" s="5">
        <f t="shared" si="0"/>
        <v>0.39868447015434982</v>
      </c>
      <c r="F7" s="5">
        <f t="shared" si="0"/>
        <v>0.40379026178019439</v>
      </c>
      <c r="G7" s="5">
        <f t="shared" si="0"/>
        <v>0.39023421048078366</v>
      </c>
      <c r="H7" s="5">
        <f t="shared" si="0"/>
        <v>0.37331768502890716</v>
      </c>
      <c r="I7" s="5">
        <f t="shared" si="0"/>
        <v>0.35674311140358195</v>
      </c>
      <c r="J7" s="5">
        <f t="shared" si="0"/>
        <v>0.33146150831568499</v>
      </c>
      <c r="K7" s="5">
        <f t="shared" si="0"/>
        <v>0.31161317789966603</v>
      </c>
      <c r="L7" s="5">
        <f t="shared" si="0"/>
        <v>0.29157764353653004</v>
      </c>
      <c r="M7" s="5">
        <f t="shared" si="0"/>
        <v>0.28403565358322724</v>
      </c>
    </row>
    <row r="8" spans="1:13" x14ac:dyDescent="0.25">
      <c r="A8" t="s">
        <v>31</v>
      </c>
      <c r="B8" s="6">
        <f>B3*0.7+B4*0.3+B5+B6</f>
        <v>0.81590000000000007</v>
      </c>
      <c r="C8" s="6">
        <f t="shared" ref="C8:M8" si="1">C3*0.7+C4*0.3+C5+C6</f>
        <v>0.87324000000000002</v>
      </c>
      <c r="D8" s="6">
        <f t="shared" si="1"/>
        <v>0.92705870539300217</v>
      </c>
      <c r="E8" s="6">
        <f t="shared" si="1"/>
        <v>1.0086844701543498</v>
      </c>
      <c r="F8" s="6">
        <f t="shared" si="1"/>
        <v>1.0137902617801944</v>
      </c>
      <c r="G8" s="6">
        <f t="shared" si="1"/>
        <v>1.0002342104807838</v>
      </c>
      <c r="H8" s="6">
        <f t="shared" si="1"/>
        <v>0.98331768502890715</v>
      </c>
      <c r="I8" s="6">
        <f t="shared" si="1"/>
        <v>0.96674311140358204</v>
      </c>
      <c r="J8" s="6">
        <f t="shared" si="1"/>
        <v>0.94146150831568498</v>
      </c>
      <c r="K8" s="6">
        <f t="shared" si="1"/>
        <v>0.92161317789966613</v>
      </c>
      <c r="L8" s="6">
        <f t="shared" si="1"/>
        <v>0.90157764353653014</v>
      </c>
      <c r="M8" s="6">
        <f t="shared" si="1"/>
        <v>0.89403565358322723</v>
      </c>
    </row>
    <row r="9" spans="1:13" x14ac:dyDescent="0.25">
      <c r="A9" t="s">
        <v>32</v>
      </c>
      <c r="B9" s="6">
        <f>B8-B7</f>
        <v>0.6100000000000001</v>
      </c>
      <c r="C9" s="6">
        <f t="shared" ref="C9:M9" si="2">C8-C7</f>
        <v>0.6100000000000001</v>
      </c>
      <c r="D9" s="6">
        <f t="shared" si="2"/>
        <v>0.6100000000000001</v>
      </c>
      <c r="E9" s="6">
        <f t="shared" si="2"/>
        <v>0.61</v>
      </c>
      <c r="F9" s="6">
        <f t="shared" si="2"/>
        <v>0.61</v>
      </c>
      <c r="G9" s="6">
        <f t="shared" si="2"/>
        <v>0.6100000000000001</v>
      </c>
      <c r="H9" s="6">
        <f t="shared" si="2"/>
        <v>0.61</v>
      </c>
      <c r="I9" s="6">
        <f t="shared" si="2"/>
        <v>0.6100000000000001</v>
      </c>
      <c r="J9" s="6">
        <f t="shared" si="2"/>
        <v>0.61</v>
      </c>
      <c r="K9" s="6">
        <f t="shared" si="2"/>
        <v>0.6100000000000001</v>
      </c>
      <c r="L9" s="6">
        <f t="shared" si="2"/>
        <v>0.6100000000000001</v>
      </c>
      <c r="M9" s="6">
        <f t="shared" si="2"/>
        <v>0.61</v>
      </c>
    </row>
    <row r="10" spans="1:13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2" spans="1:13" x14ac:dyDescent="0.25">
      <c r="A12" s="2" t="s">
        <v>33</v>
      </c>
    </row>
    <row r="13" spans="1:13" x14ac:dyDescent="0.25">
      <c r="A13" t="s">
        <v>34</v>
      </c>
      <c r="B13" s="1">
        <f>0.29</f>
        <v>0.28999999999999998</v>
      </c>
      <c r="C13" s="1">
        <f t="shared" ref="C13:M13" si="3">0.29</f>
        <v>0.28999999999999998</v>
      </c>
      <c r="D13" s="1">
        <f t="shared" si="3"/>
        <v>0.28999999999999998</v>
      </c>
      <c r="E13" s="1">
        <f t="shared" si="3"/>
        <v>0.28999999999999998</v>
      </c>
      <c r="F13" s="1">
        <f t="shared" si="3"/>
        <v>0.28999999999999998</v>
      </c>
      <c r="G13" s="1">
        <f t="shared" si="3"/>
        <v>0.28999999999999998</v>
      </c>
      <c r="H13" s="1">
        <f t="shared" si="3"/>
        <v>0.28999999999999998</v>
      </c>
      <c r="I13" s="1">
        <f t="shared" si="3"/>
        <v>0.28999999999999998</v>
      </c>
      <c r="J13" s="1">
        <f t="shared" si="3"/>
        <v>0.28999999999999998</v>
      </c>
      <c r="K13" s="1">
        <f t="shared" si="3"/>
        <v>0.28999999999999998</v>
      </c>
      <c r="L13" s="1">
        <f t="shared" si="3"/>
        <v>0.28999999999999998</v>
      </c>
      <c r="M13" s="1">
        <f t="shared" si="3"/>
        <v>0.28999999999999998</v>
      </c>
    </row>
    <row r="14" spans="1:13" x14ac:dyDescent="0.25">
      <c r="A14" t="s">
        <v>35</v>
      </c>
      <c r="B14" s="1">
        <v>0.03</v>
      </c>
      <c r="C14" s="1">
        <v>0.03</v>
      </c>
      <c r="D14" s="1">
        <v>0.03</v>
      </c>
      <c r="E14" s="1">
        <v>0.03</v>
      </c>
      <c r="F14" s="1">
        <v>0.03</v>
      </c>
      <c r="G14" s="1">
        <v>0.03</v>
      </c>
      <c r="H14" s="1">
        <v>0.03</v>
      </c>
      <c r="I14" s="1">
        <v>0.03</v>
      </c>
      <c r="J14" s="1">
        <v>0.03</v>
      </c>
      <c r="K14" s="1">
        <v>0.03</v>
      </c>
      <c r="L14" s="1">
        <v>0.03</v>
      </c>
      <c r="M14" s="1">
        <v>0.03</v>
      </c>
    </row>
    <row r="15" spans="1:13" x14ac:dyDescent="0.25">
      <c r="A15" s="4" t="s">
        <v>36</v>
      </c>
      <c r="B15" s="7">
        <f>(30*24)/40000</f>
        <v>1.7999999999999999E-2</v>
      </c>
      <c r="C15" s="7">
        <f t="shared" ref="C15:M15" si="4">(30*24)/40000</f>
        <v>1.7999999999999999E-2</v>
      </c>
      <c r="D15" s="7">
        <f t="shared" si="4"/>
        <v>1.7999999999999999E-2</v>
      </c>
      <c r="E15" s="7">
        <f t="shared" si="4"/>
        <v>1.7999999999999999E-2</v>
      </c>
      <c r="F15" s="7">
        <f t="shared" si="4"/>
        <v>1.7999999999999999E-2</v>
      </c>
      <c r="G15" s="7">
        <f t="shared" si="4"/>
        <v>1.7999999999999999E-2</v>
      </c>
      <c r="H15" s="7">
        <f t="shared" si="4"/>
        <v>1.7999999999999999E-2</v>
      </c>
      <c r="I15" s="7">
        <f t="shared" si="4"/>
        <v>1.7999999999999999E-2</v>
      </c>
      <c r="J15" s="7">
        <f t="shared" si="4"/>
        <v>1.7999999999999999E-2</v>
      </c>
      <c r="K15" s="7">
        <f t="shared" si="4"/>
        <v>1.7999999999999999E-2</v>
      </c>
      <c r="L15" s="7">
        <f t="shared" si="4"/>
        <v>1.7999999999999999E-2</v>
      </c>
      <c r="M15" s="7">
        <f t="shared" si="4"/>
        <v>1.7999999999999999E-2</v>
      </c>
    </row>
    <row r="16" spans="1:13" x14ac:dyDescent="0.25">
      <c r="A16" t="s">
        <v>37</v>
      </c>
      <c r="B16" s="6">
        <f>SUM(B13:B15)</f>
        <v>0.33799999999999997</v>
      </c>
      <c r="C16" s="6">
        <f t="shared" ref="C16:M16" si="5">SUM(C13:C15)</f>
        <v>0.33799999999999997</v>
      </c>
      <c r="D16" s="6">
        <f t="shared" si="5"/>
        <v>0.33799999999999997</v>
      </c>
      <c r="E16" s="6">
        <f t="shared" si="5"/>
        <v>0.33799999999999997</v>
      </c>
      <c r="F16" s="6">
        <f t="shared" si="5"/>
        <v>0.33799999999999997</v>
      </c>
      <c r="G16" s="6">
        <f t="shared" si="5"/>
        <v>0.33799999999999997</v>
      </c>
      <c r="H16" s="6">
        <f t="shared" si="5"/>
        <v>0.33799999999999997</v>
      </c>
      <c r="I16" s="6">
        <f t="shared" si="5"/>
        <v>0.33799999999999997</v>
      </c>
      <c r="J16" s="6">
        <f t="shared" si="5"/>
        <v>0.33799999999999997</v>
      </c>
      <c r="K16" s="6">
        <f t="shared" si="5"/>
        <v>0.33799999999999997</v>
      </c>
      <c r="L16" s="6">
        <f t="shared" si="5"/>
        <v>0.33799999999999997</v>
      </c>
      <c r="M16" s="6">
        <f t="shared" si="5"/>
        <v>0.33799999999999997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B23" sqref="B23"/>
    </sheetView>
  </sheetViews>
  <sheetFormatPr defaultRowHeight="15" x14ac:dyDescent="0.25"/>
  <cols>
    <col min="1" max="1" width="27.5703125" customWidth="1"/>
    <col min="2" max="2" width="57.7109375" customWidth="1"/>
  </cols>
  <sheetData>
    <row r="1" spans="1:2" x14ac:dyDescent="0.25">
      <c r="A1" s="3" t="s">
        <v>5</v>
      </c>
      <c r="B1" s="3" t="s">
        <v>6</v>
      </c>
    </row>
    <row r="2" spans="1:2" x14ac:dyDescent="0.25">
      <c r="A2" t="s">
        <v>7</v>
      </c>
      <c r="B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8</v>
      </c>
      <c r="B6" t="s">
        <v>18</v>
      </c>
    </row>
    <row r="7" spans="1:2" x14ac:dyDescent="0.25">
      <c r="A7" t="s">
        <v>19</v>
      </c>
      <c r="B7" t="s">
        <v>20</v>
      </c>
    </row>
    <row r="8" spans="1:2" x14ac:dyDescent="0.25">
      <c r="A8" t="s">
        <v>1</v>
      </c>
      <c r="B8" t="s">
        <v>21</v>
      </c>
    </row>
    <row r="9" spans="1:2" x14ac:dyDescent="0.25">
      <c r="A9" t="s">
        <v>2</v>
      </c>
      <c r="B9" t="s">
        <v>22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23</v>
      </c>
      <c r="B1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COQ</vt:lpstr>
      <vt:lpstr>Production</vt:lpstr>
      <vt:lpstr>Customer_Complaint</vt:lpstr>
      <vt:lpstr>Production Cost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Cliferd Menezes</cp:lastModifiedBy>
  <dcterms:created xsi:type="dcterms:W3CDTF">2026-03-17T23:18:47Z</dcterms:created>
  <dcterms:modified xsi:type="dcterms:W3CDTF">2026-03-17T23:55:25Z</dcterms:modified>
</cp:coreProperties>
</file>