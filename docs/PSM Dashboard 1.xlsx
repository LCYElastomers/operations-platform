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cygroup365-my.sharepoint.com/personal/chad_kelly_lcygroup_com/Documents/Desktop/"/>
    </mc:Choice>
  </mc:AlternateContent>
  <xr:revisionPtr revIDLastSave="0" documentId="8_{540041DD-2247-4839-B8F1-D8695FB6CAE4}" xr6:coauthVersionLast="47" xr6:coauthVersionMax="47" xr10:uidLastSave="{00000000-0000-0000-0000-000000000000}"/>
  <bookViews>
    <workbookView xWindow="28680" yWindow="-120" windowWidth="29040" windowHeight="17520" firstSheet="1" activeTab="1" xr2:uid="{00000000-000D-0000-FFFF-FFFF00000000}"/>
  </bookViews>
  <sheets>
    <sheet name="Management Dashboard " sheetId="5" r:id="rId1"/>
    <sheet name="2026 PSM_RMP" sheetId="9" r:id="rId2"/>
    <sheet name="2026 PHA - 300,400,600" sheetId="8" r:id="rId3"/>
    <sheet name="2024 PHA - 500,800,900" sheetId="4" r:id="rId4"/>
    <sheet name="2023 PHA - 100,200" sheetId="3" r:id="rId5"/>
    <sheet name="2021 PHA -300,400,600" sheetId="1" r:id="rId6"/>
    <sheet name="2021 PSM Audit" sheetId="6" r:id="rId7"/>
  </sheets>
  <definedNames>
    <definedName name="_xlnm._FilterDatabase" localSheetId="5" hidden="1">'2021 PHA -300,400,600'!$A$1:$H$39</definedName>
    <definedName name="_xlnm._FilterDatabase" localSheetId="6" hidden="1">'2021 PSM Audit'!$A$1:$K$26</definedName>
    <definedName name="_xlnm._FilterDatabase" localSheetId="4" hidden="1">'2023 PHA - 100,200'!$A$1:$I$37</definedName>
    <definedName name="_xlnm._FilterDatabase" localSheetId="3" hidden="1">'2024 PHA - 500,800,900'!$A$1:$I$62</definedName>
    <definedName name="_xlnm._FilterDatabase" localSheetId="2" hidden="1">'2026 PHA - 300,400,600'!$A$1:$N$1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5" l="1"/>
  <c r="H40" i="3"/>
  <c r="Z41" i="5"/>
  <c r="Z42" i="5"/>
  <c r="Z43" i="5"/>
  <c r="Z44" i="5"/>
  <c r="Z45" i="5"/>
  <c r="Z21" i="5"/>
  <c r="W21" i="5"/>
  <c r="B66" i="4"/>
  <c r="W5" i="5"/>
  <c r="H42" i="1"/>
  <c r="B42" i="1"/>
  <c r="B29" i="6"/>
  <c r="F8" i="5"/>
  <c r="H43" i="1"/>
  <c r="H44" i="1"/>
  <c r="H41" i="3"/>
  <c r="H42" i="3"/>
  <c r="H66" i="4"/>
  <c r="C25" i="5" s="1"/>
  <c r="H67" i="4"/>
  <c r="C26" i="5" s="1"/>
  <c r="H65" i="4"/>
  <c r="C24" i="5" s="1"/>
  <c r="Z35" i="5"/>
  <c r="Z36" i="5"/>
  <c r="Z37" i="5"/>
  <c r="Z38" i="5"/>
  <c r="Z39" i="5"/>
  <c r="Z40" i="5"/>
  <c r="Z34" i="5"/>
  <c r="Z12" i="5"/>
  <c r="W35" i="5"/>
  <c r="W36" i="5"/>
  <c r="W37" i="5"/>
  <c r="W38" i="5"/>
  <c r="W39" i="5"/>
  <c r="W40" i="5"/>
  <c r="W41" i="5"/>
  <c r="W42" i="5"/>
  <c r="W43" i="5"/>
  <c r="W44" i="5"/>
  <c r="W45" i="5"/>
  <c r="W17" i="5"/>
  <c r="H8" i="5"/>
  <c r="G8" i="5"/>
  <c r="E8" i="5"/>
  <c r="G14" i="5"/>
  <c r="F14" i="5"/>
  <c r="H14" i="5" s="1"/>
  <c r="E14" i="5"/>
  <c r="G12" i="5"/>
  <c r="E10" i="5"/>
  <c r="Z15" i="5"/>
  <c r="W18" i="5"/>
  <c r="W19" i="5"/>
  <c r="W20" i="5"/>
  <c r="Z6" i="5"/>
  <c r="W6" i="5"/>
  <c r="W7" i="5"/>
  <c r="W8" i="5"/>
  <c r="W9" i="5"/>
  <c r="W12" i="5"/>
  <c r="W13" i="5"/>
  <c r="W14" i="5"/>
  <c r="W15" i="5"/>
  <c r="W11" i="5"/>
  <c r="F12" i="5"/>
  <c r="H12" i="5" s="1"/>
  <c r="B41" i="3"/>
  <c r="E12" i="5" s="1"/>
  <c r="Z18" i="5"/>
  <c r="Z19" i="5"/>
  <c r="Z20" i="5"/>
  <c r="Z17" i="5"/>
  <c r="Z13" i="5"/>
  <c r="Z14" i="5"/>
  <c r="Z11" i="5"/>
  <c r="Z9" i="5"/>
  <c r="Z8" i="5"/>
  <c r="Z7" i="5"/>
  <c r="Z5" i="5"/>
  <c r="G10" i="5"/>
  <c r="G5" i="5" s="1"/>
  <c r="F10" i="5"/>
  <c r="H10" i="5" s="1"/>
  <c r="F5" i="5" l="1"/>
  <c r="E5" i="5" s="1"/>
  <c r="H5" i="5"/>
</calcChain>
</file>

<file path=xl/sharedStrings.xml><?xml version="1.0" encoding="utf-8"?>
<sst xmlns="http://schemas.openxmlformats.org/spreadsheetml/2006/main" count="1756" uniqueCount="752">
  <si>
    <t>PROCESS SAFETY MANAGEMENT (PSM) DASHBOARD</t>
  </si>
  <si>
    <t>PHA RECOMMENDATION  STATUS</t>
  </si>
  <si>
    <t xml:space="preserve">Total Recommendations </t>
  </si>
  <si>
    <t>Open</t>
  </si>
  <si>
    <t>Closed</t>
  </si>
  <si>
    <t>In-Progress</t>
  </si>
  <si>
    <t>Closure %</t>
  </si>
  <si>
    <t>Year</t>
  </si>
  <si>
    <t>Owner</t>
  </si>
  <si>
    <t>Total</t>
  </si>
  <si>
    <t>Closure%</t>
  </si>
  <si>
    <t>Engineering</t>
  </si>
  <si>
    <t>Instrumentation &amp; Controls</t>
  </si>
  <si>
    <t>2021 (PSM Audit)</t>
  </si>
  <si>
    <t>Mechanical Integrity/ Reliability</t>
  </si>
  <si>
    <t>Operations</t>
  </si>
  <si>
    <t>2021 (300,400,600)</t>
  </si>
  <si>
    <t>Health &amp; Safety</t>
  </si>
  <si>
    <t>2023 (100,200)</t>
  </si>
  <si>
    <t>Contractor Management</t>
  </si>
  <si>
    <t>2024 (500,800,900)</t>
  </si>
  <si>
    <t xml:space="preserve">Health and Safety </t>
  </si>
  <si>
    <t>2026 (300,400,600)</t>
  </si>
  <si>
    <t>Maintenance</t>
  </si>
  <si>
    <t xml:space="preserve">PHA Risk Ranking </t>
  </si>
  <si>
    <t xml:space="preserve">High </t>
  </si>
  <si>
    <t>Medium</t>
  </si>
  <si>
    <t>Low</t>
  </si>
  <si>
    <t xml:space="preserve">PSM Element Recommendation Status </t>
  </si>
  <si>
    <t>PSM Element</t>
  </si>
  <si>
    <t>Applicability</t>
  </si>
  <si>
    <t xml:space="preserve">Contractors </t>
  </si>
  <si>
    <t>Emergency Planning &amp; Response</t>
  </si>
  <si>
    <t>Employee Participation</t>
  </si>
  <si>
    <t>Hot Work Permit</t>
  </si>
  <si>
    <t xml:space="preserve">Incident Investigation </t>
  </si>
  <si>
    <t>M.I</t>
  </si>
  <si>
    <t>MOC/PSSR</t>
  </si>
  <si>
    <t xml:space="preserve">Operating Procedures </t>
  </si>
  <si>
    <t>PHA</t>
  </si>
  <si>
    <t>PSI</t>
  </si>
  <si>
    <t xml:space="preserve">Training </t>
  </si>
  <si>
    <t>#</t>
  </si>
  <si>
    <t xml:space="preserve">Area/ Equipment </t>
  </si>
  <si>
    <t xml:space="preserve">Recomendation </t>
  </si>
  <si>
    <t>Consequence</t>
  </si>
  <si>
    <t>Cause</t>
  </si>
  <si>
    <t xml:space="preserve">Event </t>
  </si>
  <si>
    <t>Node</t>
  </si>
  <si>
    <t>Priority/ Risk</t>
  </si>
  <si>
    <t>Accepted (Y/N)</t>
  </si>
  <si>
    <t>Task/ Justification</t>
  </si>
  <si>
    <t xml:space="preserve">Department </t>
  </si>
  <si>
    <t xml:space="preserve">Owner </t>
  </si>
  <si>
    <t>Status</t>
  </si>
  <si>
    <t xml:space="preserve">Notes </t>
  </si>
  <si>
    <t>V-7406</t>
  </si>
  <si>
    <t>Consider a low level or pressure cutoff (LI 404##) on V-7406 to cut off pumps P-7406A/B</t>
  </si>
  <si>
    <t>1.1.1. Pull vacuum on the vessel leading to loss of containment, potential for fire and personnel injury</t>
  </si>
  <si>
    <t>1. Pumping out of V-7406 with no polymer or cyclohexane in the vessel.</t>
  </si>
  <si>
    <t>1.1. Human Error - running pump with stripper empty</t>
  </si>
  <si>
    <t>10. 1st Stripper V-7406</t>
  </si>
  <si>
    <t>V-7407</t>
  </si>
  <si>
    <t>1. Pumping out of V-7407 with no polymer or cyclohexane in the vessel.</t>
  </si>
  <si>
    <t>11. 2nd Stripper V-7407</t>
  </si>
  <si>
    <t>V-7408</t>
  </si>
  <si>
    <t>1. Pumping out of V-7408 with no polymer or cyclohexane in the vessel.</t>
  </si>
  <si>
    <t>12. 3rd Stripper V-7408</t>
  </si>
  <si>
    <t>V-7405</t>
  </si>
  <si>
    <t>Consider a low level or pressure cutoff (LI 404##) on V-7405 to cut off pumps P-7404A/B</t>
  </si>
  <si>
    <t>8.1.1. Pump deadheads into valve leading to loss of containment of cyclohexane potentially causing a fire and personnel injury.</t>
  </si>
  <si>
    <t>8. Manual valve closed at  discharge of P-7404A/B</t>
  </si>
  <si>
    <t>8.1. Valve is not opened after maintenance (100x)</t>
  </si>
  <si>
    <t>8. Wastewater Stripper Decanter (V-7405) and Fin Fan Cooler (E-7405) Stripper Decanter Refrigerant Condenser (E-7407)</t>
  </si>
  <si>
    <t xml:space="preserve">Medium </t>
  </si>
  <si>
    <t>1. Pumping out of V-7405 empty with P-7404 or 7405.</t>
  </si>
  <si>
    <t>1.1. Human Error - running pump with reactor empty</t>
  </si>
  <si>
    <t xml:space="preserve">R-7302 </t>
  </si>
  <si>
    <t>Make sure hardwired PSH 30220 (Interlock 30102) and PAH 30219 are independent from each other.</t>
  </si>
  <si>
    <t>1.1.1. During Butadiene charge, no cooling water leads to increased reaction, pressure and temperature and possibly damaging R-7302 leading to loss of containment with fire and personnel injury</t>
  </si>
  <si>
    <t>1. Too little cooling water (80 F)</t>
  </si>
  <si>
    <t>1.1.</t>
  </si>
  <si>
    <t>2. 2nd Polymerization Reactor (R-7302)</t>
  </si>
  <si>
    <t>Make sure hardwired PSH 30220 (Interlock 30102) and PAH 30119 are independent from each other.</t>
  </si>
  <si>
    <t>1.1.1. Leads to runaway reaction with pressure and temperature leading to reactor damage, loss of containment and multiple personnel fatality</t>
  </si>
  <si>
    <t>1. Too much Butadiene</t>
  </si>
  <si>
    <t>1.1. Human error - too much reactant</t>
  </si>
  <si>
    <t>Confirm that PSV 30214 is adequate to mitigating a runaway reaction from too much butadiene</t>
  </si>
  <si>
    <t>Make sure hardwired PSH 30320 (Interlock 30302) and PAH 30319 are independent from each other.</t>
  </si>
  <si>
    <t>1.1.1. During Butadiene charge, no cooling water leads to increased reaction, pressure and temperature and possibly damaging R-7303 leading to loss of containment with fire and personnel injury</t>
  </si>
  <si>
    <t>3. 3rd Polymerization Reactor (R-7302)</t>
  </si>
  <si>
    <t>R-7307</t>
  </si>
  <si>
    <t>Reactivate the low level or pressure cutoff (LI 30321) on R-7303 to cut off pumps P-7301A/B/C</t>
  </si>
  <si>
    <t>3.1.1. Pull vacuum on the reactor leading to loss of containment, potential for fire and personnel injury</t>
  </si>
  <si>
    <t>3. P-7301 A/B/C runs with R-7303 empty</t>
  </si>
  <si>
    <t>3.1. Human Error - running pump with reactor empty</t>
  </si>
  <si>
    <t>Confirm that PSV 30314 is adequate to mitigating a runaway reaction from too much butadiene</t>
  </si>
  <si>
    <t>V-7601</t>
  </si>
  <si>
    <t>Consider inspecting V-7601 outer shell for corrosion under insulation and determine further need or appropriate frequency for further inspections.</t>
  </si>
  <si>
    <t>1.1.1. Leak develops from corrosion under insulation which leads to loss of containment of hot condensate and personnel injury</t>
  </si>
  <si>
    <t>1. Corrosion under insulation for V-7601</t>
  </si>
  <si>
    <t>16. Condensate Collection Tank (V-7601)</t>
  </si>
  <si>
    <t>H-7624</t>
  </si>
  <si>
    <t>Update scale on FT 60701 with appropriate high and low flow setpoints</t>
  </si>
  <si>
    <t>3.1.2. Impacts agitators, pump seals and condensers in all areas including 300 and 400 areas</t>
  </si>
  <si>
    <t>3. Suction valve to P-7624 A/B/C is closed</t>
  </si>
  <si>
    <t>3.1. Valve is not opened after maintenance (100x)</t>
  </si>
  <si>
    <t>19. Cooling Tower (H-7624)</t>
  </si>
  <si>
    <t>4.1.2. Impacts agitators, pump seals and condensers in all areas including 300 and 400 areas</t>
  </si>
  <si>
    <t>4. Discharge valve to P-7624 A/B/C is closed</t>
  </si>
  <si>
    <t>4.1. Valve is not opened after maintenance (100x)</t>
  </si>
  <si>
    <t>1.1.1. Leads to less water to the pumps and possible environmental issues with overhead condensers</t>
  </si>
  <si>
    <t>1. Basin leaks (large)</t>
  </si>
  <si>
    <t>1.1. Leak</t>
  </si>
  <si>
    <t>1.1.1. Leads to leaking water lines and possible loss of flow to critical condensers leading to environmental issues</t>
  </si>
  <si>
    <t>1. Cooling water piping from H-7624</t>
  </si>
  <si>
    <t>1.1. Corrosion</t>
  </si>
  <si>
    <t>Set TI 60711 high temperature process alarm at a temperature that protects coolers from permit excursions</t>
  </si>
  <si>
    <t>1.1.1. Could lead to environmental issues if the plant is fully loaded and the weather is warm.</t>
  </si>
  <si>
    <t>1. Cooling Tower fan failure</t>
  </si>
  <si>
    <t>1.1. Equipment failure</t>
  </si>
  <si>
    <t>V-7403</t>
  </si>
  <si>
    <t>Review all the TK-105 interlocks to make sure the new system operates as purposed.</t>
  </si>
  <si>
    <t>3.1.1. Material from one vessel will overflow into the other blend tanks - No safety impact.</t>
  </si>
  <si>
    <t>3. P-7404 B is used to put too much material in V-7401 or New XV50213B is opened when it should not be</t>
  </si>
  <si>
    <t>3.1.</t>
  </si>
  <si>
    <t>7. Blend Tank V-7403 (Temporary Wet Solvent Tank for TK-105) (MOC #1239)) Team is recorded on the 500 PHA</t>
  </si>
  <si>
    <t>V-7644</t>
  </si>
  <si>
    <t>Review EF-902 P&amp;ID and confirm that V-7644 pump out direction is correct to V-7405. The team feels this is in error.</t>
  </si>
  <si>
    <t>1.1.1. Materials overflow from reactor leading to liquids to the Polymer Blowdown Header with possible loss of containment, potential for fire and personnel injury</t>
  </si>
  <si>
    <t>1. Too much reactants put into R-7301</t>
  </si>
  <si>
    <t>1.1. Human error - too much reactants (10x)</t>
  </si>
  <si>
    <t>1. 1st Polymerization Reactor (R-7301)</t>
  </si>
  <si>
    <t>Note a high temperature alarm on TI 60413.</t>
  </si>
  <si>
    <t>3.1.1. Increases heat load on E-7407 and V-7405 leading to environmental impact</t>
  </si>
  <si>
    <t>3. No refrigerated water</t>
  </si>
  <si>
    <t>T-7401</t>
  </si>
  <si>
    <t>Consider a low level switch on the Stripper or low flow switch to the Pumps P-7405A/B or P-7402 to prevent the stripper from being emptied with steam fed to it.</t>
  </si>
  <si>
    <t>6.1.1. Empty the WW Stripper leading to overheating from steam and damage to the stripper, loss of containment of steam, personnel injury</t>
  </si>
  <si>
    <t>6. LV 20 fails open</t>
  </si>
  <si>
    <t>6.1.</t>
  </si>
  <si>
    <t>9. Wastewater Stripper (T-7401)</t>
  </si>
  <si>
    <t>Consider a low level or flow cutoff from the 1st Stripper to cut off pumps P-7406A/B</t>
  </si>
  <si>
    <t>3.1.1. Pump deadheads into valve leading to loss of containment of rubber and cyclohexane potentially causing a fire and personnel injury.</t>
  </si>
  <si>
    <t>3. Manual valve closed at the discharge of the P-7406 A and B outlet of the reactor</t>
  </si>
  <si>
    <t>4.1.1. Pump cavitates from closed suction valve leading to loss of containment of rubber and cyclohexane potentially causing a fire and personnel injury.</t>
  </si>
  <si>
    <t>4. Manual valve closed at bottom of V-7406 and at the suction of the P-7406 A or B outlet of the reactor</t>
  </si>
  <si>
    <t>Consider a low level or flow cutoff from the 2nd Stripper to cut off pumps P-7407</t>
  </si>
  <si>
    <t>2.1.1. Pump deadheads into valve leading to loss of containment of rubber and cyclohexane potentially causing a fire and personnel injury.</t>
  </si>
  <si>
    <t>2. Manual valve closed at the discharge of the P-7407 outlet of the reactor</t>
  </si>
  <si>
    <t>2.1. Valve is not opened after maintenance (100x)</t>
  </si>
  <si>
    <t>3.1.1. Pump cavitates from closed suction valve leading to loss of containment of rubber and cyclohexane potentially causing a fire and personnel injury.</t>
  </si>
  <si>
    <t>3. Manual valve closed at bottom of V-7407 and at the suction of the P-7407 outlet of the reactor</t>
  </si>
  <si>
    <t>Consider a low level or flow cutoff from the 2nd Stripper to cut off pumps P-7408/9B</t>
  </si>
  <si>
    <t>2. Manual valve closed at the discharge of the P-7408/9A outlet of the reactor</t>
  </si>
  <si>
    <t>3. Manual valve closed at bottom of V-7408 and at the suction of the P-7408/9A outlet of the reactor</t>
  </si>
  <si>
    <t>Consider a low level or flow cutoff from the Condensate Collection Tank to cut off pumps P-7601A/B</t>
  </si>
  <si>
    <t>5.1.2. Cavitate P-7601 A/B leading to pump damage and possible loss of containment of hot condensate leading to personnel injury</t>
  </si>
  <si>
    <t>5. LV60103 fails open</t>
  </si>
  <si>
    <t>5.1. Control valve failure</t>
  </si>
  <si>
    <t>V-7603</t>
  </si>
  <si>
    <t>Install a vacuum breaker on the Deaerator V/T-7603 instead of using a check valve since the deaerator is a coded vessel.</t>
  </si>
  <si>
    <t>2.1.1. Pressure loss on Deaerator leading to loss of containment of hot water burning personnel</t>
  </si>
  <si>
    <t>2. Sudden cooling of deaerator creates a vacuum on the Deaerator</t>
  </si>
  <si>
    <t>2.1. Maintenance Event</t>
  </si>
  <si>
    <t>31. Deaerator (V-7603)</t>
  </si>
  <si>
    <t>Rejected</t>
  </si>
  <si>
    <t xml:space="preserve">Accepted </t>
  </si>
  <si>
    <t xml:space="preserve">Open </t>
  </si>
  <si>
    <t xml:space="preserve">Closed </t>
  </si>
  <si>
    <t xml:space="preserve">In-Progress </t>
  </si>
  <si>
    <t>Category</t>
  </si>
  <si>
    <t>Recommendation</t>
  </si>
  <si>
    <t>Area/ Equipment</t>
  </si>
  <si>
    <t>Task</t>
  </si>
  <si>
    <t>Priority</t>
  </si>
  <si>
    <t>Department</t>
  </si>
  <si>
    <t>Notes</t>
  </si>
  <si>
    <t>HAZOP/LOPA</t>
  </si>
  <si>
    <t>Develop Emergency Shutdown Procedure for how to manually stop flow if Interlock 50501 does not work</t>
  </si>
  <si>
    <t>V-7512 Dry Solvent Surge Drum</t>
  </si>
  <si>
    <t>Write and implement Emergency Shutdown Procedure for V-7512 Dry Solvent Surge Drum; train operators and validate during drills</t>
  </si>
  <si>
    <t>High</t>
  </si>
  <si>
    <t xml:space="preserve">Operations </t>
  </si>
  <si>
    <t>Silvie Varghese</t>
  </si>
  <si>
    <t>PHA 800/800/900</t>
  </si>
  <si>
    <t>Develop Emergency Shutdown Procedure for how to manually stop flow if Interlock 50104 does not work</t>
  </si>
  <si>
    <t>TK-105 Wet Solvent Tank</t>
  </si>
  <si>
    <t>Write and implement Emergency Shutdown Procedure for TK-105 Wet Solvent Tank; train operators and validate during drills</t>
  </si>
  <si>
    <t>Develop Emergency Shutdown Procedure for how to manually depressure T-7511 Solvent Column if Interlock 50301 fails</t>
  </si>
  <si>
    <t>T-7511 Solvent Column</t>
  </si>
  <si>
    <t>Write and implement Emergency Shutdown Procedure for T-7511 Solvent Column; train operators and validate during drills</t>
  </si>
  <si>
    <r>
      <rPr>
        <sz val="11"/>
        <color rgb="FF000000"/>
        <rFont val="Calibri"/>
        <scheme val="minor"/>
      </rPr>
      <t xml:space="preserve">PHA 800/800/900 - </t>
    </r>
    <r>
      <rPr>
        <sz val="11"/>
        <color rgb="FF00B050"/>
        <rFont val="Calibri"/>
        <scheme val="minor"/>
      </rPr>
      <t>SOP 500.1.5 Solvent Purification</t>
    </r>
  </si>
  <si>
    <t>Consider removing T-7521 Solvent Purification Column, E-7521 Reboiler, and P-7522 system</t>
  </si>
  <si>
    <t>T-7521 / E-7521 / P-7522</t>
  </si>
  <si>
    <t>Perform engineering evaluation for T-7521 / E-7521 / P-7522; implement required corrective action and close via MOC if needed</t>
  </si>
  <si>
    <t xml:space="preserve">Ron Vera </t>
  </si>
  <si>
    <t xml:space="preserve">System air gapped and no longer in service </t>
  </si>
  <si>
    <t>Possible deadleg – consider blinding unused piping and update P&amp;ID</t>
  </si>
  <si>
    <t>LV-50414 Line / Wet Solvent Decanter</t>
  </si>
  <si>
    <t>Inspect piping at LV-50414 Line / Wet Solvent Decanter for deadlegs; remove or install blinds; update drawings</t>
  </si>
  <si>
    <t xml:space="preserve">Pat Grigsby </t>
  </si>
  <si>
    <r>
      <rPr>
        <sz val="11"/>
        <color rgb="FF000000"/>
        <rFont val="Calibri"/>
      </rPr>
      <t>PHA 800/800/900 -</t>
    </r>
    <r>
      <rPr>
        <sz val="11"/>
        <color rgb="FFC0504D"/>
        <rFont val="Calibri"/>
      </rPr>
      <t xml:space="preserve"> Leg is out of service. We can attempt to clear, only used when washing the styrene bed. There is a dead leg and it is still there. Danny and Pat to walkout and determine plan to remove deadleg. MOC for removal of deadleg required. </t>
    </r>
  </si>
  <si>
    <t>Develop emergency shutdown procedure for Interlock 50506 failure</t>
  </si>
  <si>
    <t>Dry Solvent Distribution System</t>
  </si>
  <si>
    <t>Write and implement Emergency Shutdown Procedure for Dry Solvent Distribution System; train operators and validate during drills</t>
  </si>
  <si>
    <r>
      <rPr>
        <sz val="11"/>
        <color rgb="FF000000"/>
        <rFont val="Calibri"/>
        <scheme val="minor"/>
      </rPr>
      <t xml:space="preserve">PHA 800/800/900. </t>
    </r>
    <r>
      <rPr>
        <sz val="11"/>
        <color rgb="FFFF0000"/>
        <rFont val="Calibri"/>
        <scheme val="minor"/>
      </rPr>
      <t>Need interlock details from Engineering Department.</t>
    </r>
  </si>
  <si>
    <t>Consider CSC 1.5 inch MBV on Line 803008 to prevent vapor release</t>
  </si>
  <si>
    <t>Recycled Hydrocarbon Loading Line 803008</t>
  </si>
  <si>
    <t>Perform engineering evaluation for Recycled Hydrocarbon Loading Line 803008; implement required corrective action and close via MOC if needed</t>
  </si>
  <si>
    <t xml:space="preserve">No longer utilized in process </t>
  </si>
  <si>
    <t>Develop work instruction for manual operation if Interlock 80501 fails</t>
  </si>
  <si>
    <t>Recovered Monomers Loading System</t>
  </si>
  <si>
    <t>Design, install, and test interlock system for Recovered Monomers Loading System; document in SIS records</t>
  </si>
  <si>
    <t>Consider installing DCS run indication for P-7832</t>
  </si>
  <si>
    <t>P-7832 Loading Pump</t>
  </si>
  <si>
    <t>Perform engineering evaluation for P-7832 Loading Pump; implement required corrective action and close via MOC if needed</t>
  </si>
  <si>
    <t>James Buie</t>
  </si>
  <si>
    <r>
      <rPr>
        <sz val="11"/>
        <color rgb="FF000000"/>
        <rFont val="Calibri"/>
        <scheme val="minor"/>
      </rPr>
      <t xml:space="preserve">PHA 800/800/900 - </t>
    </r>
    <r>
      <rPr>
        <sz val="11"/>
        <color rgb="FFC0504D"/>
        <rFont val="Calibri"/>
        <scheme val="minor"/>
      </rPr>
      <t>There is no DCS indication for this pump. Hand off to engineering if we need it. If we do P-7832, we need to look into doing P-7831 as well</t>
    </r>
  </si>
  <si>
    <t>Determine if Line 611049 is still in service</t>
  </si>
  <si>
    <t>High Pressure Flare Header</t>
  </si>
  <si>
    <t>Perform engineering evaluation for High Pressure Flare Header; implement required corrective action and close via MOC if needed</t>
  </si>
  <si>
    <t>PHA 800/800/900. Conduct P&amp;ID Review</t>
  </si>
  <si>
    <t>Determine if FO 90224 is still in service</t>
  </si>
  <si>
    <t>Flare Header Filter FO-90224</t>
  </si>
  <si>
    <t>Perform engineering evaluation for Flare Header Filter FO-90224; implement required corrective action and close via MOC if needed</t>
  </si>
  <si>
    <t xml:space="preserve">Review MOC 879 and verify closure status - MOC canceled </t>
  </si>
  <si>
    <t>Low Pressure Flare Compressor</t>
  </si>
  <si>
    <t>Perform engineering evaluation for Low Pressure Flare Compressor; implement required corrective action and close via MOC if needed</t>
  </si>
  <si>
    <t>Review MOC 890 – indicated complete</t>
  </si>
  <si>
    <t>Compressor C-7644</t>
  </si>
  <si>
    <t>Perform engineering evaluation for Compressor C-7644; implement required corrective action and close via MOC if needed</t>
  </si>
  <si>
    <t>Update Process Control Description for Interlock 905A37</t>
  </si>
  <si>
    <t>Flare Compressor Control</t>
  </si>
  <si>
    <t>Design, install, and test interlock system for Flare Compressor Control; document in SIS records</t>
  </si>
  <si>
    <t>PHA 800/800/900. FSR, confirm with Emma.</t>
  </si>
  <si>
    <t>CSO valves on firewater pumps discharge</t>
  </si>
  <si>
    <t>Firewater Distribution System</t>
  </si>
  <si>
    <t>Perform engineering evaluation for Firewater Distribution System; implement required corrective action and close via MOC if needed</t>
  </si>
  <si>
    <t xml:space="preserve">Chad Kelly </t>
  </si>
  <si>
    <t>PHA 800/800/900 - Complete; car seals applied</t>
  </si>
  <si>
    <t>Review and reassign open MOCs to responsible personnel</t>
  </si>
  <si>
    <t>MOC Program</t>
  </si>
  <si>
    <t>Perform engineering evaluation for MOC Program; implement required corrective action and close via MOC if needed</t>
  </si>
  <si>
    <t>MOC 780 should be reviewed and completed - needs to be closed, work completed.</t>
  </si>
  <si>
    <t>T-7521 Column Modification</t>
  </si>
  <si>
    <t>Perform engineering evaluation for T-7521 Column Modification; implement required corrective action and close via MOC if needed</t>
  </si>
  <si>
    <t>Close MOC, veryify status of service</t>
  </si>
  <si>
    <t>MOC 986 completed – close</t>
  </si>
  <si>
    <t>Sample Point Removal (E-7513)</t>
  </si>
  <si>
    <t>Perform engineering evaluation for Sample Point Removal (E-7513); implement required corrective action and close via MOC if needed</t>
  </si>
  <si>
    <t>MOC 969 needs to be closed</t>
  </si>
  <si>
    <t>Solvent Feed Valve Modification</t>
  </si>
  <si>
    <t>Perform engineering evaluation for Solvent Feed Valve Modification; implement required corrective action and close via MOC if needed</t>
  </si>
  <si>
    <t xml:space="preserve">closed </t>
  </si>
  <si>
    <t xml:space="preserve">Review MOC 885 – still open. Work completed, needs to be closed </t>
  </si>
  <si>
    <t>Natural Gas Flare Purge</t>
  </si>
  <si>
    <t>Perform engineering evaluation for Natural Gas Flare Purge; implement required corrective action and close via MOC if needed</t>
  </si>
  <si>
    <t>Review pump design for leak vs seal failure scenario</t>
  </si>
  <si>
    <t>P-7512 A/B Pumps</t>
  </si>
  <si>
    <t>Perform engineering evaluation for P-7512 A/B Pumps; implement required corrective action and close via MOC if needed</t>
  </si>
  <si>
    <t>Determine extent of leak from mechanical seal failure</t>
  </si>
  <si>
    <t>P-7512 A/B</t>
  </si>
  <si>
    <t>Perform engineering evaluation for P-7512 A/B; implement required corrective action and close via MOC if needed</t>
  </si>
  <si>
    <t>Install LEL monitor near V-7512 for leak detection</t>
  </si>
  <si>
    <t>V-7512 Surge Drum</t>
  </si>
  <si>
    <t>Perform engineering evaluation for V-7512 Surge Drum; implement required corrective action and close via MOC if needed</t>
  </si>
  <si>
    <t>Develop alternate truck loading method for V-7831</t>
  </si>
  <si>
    <t>V-7831 Storage Tank</t>
  </si>
  <si>
    <t>Perform engineering evaluation for V-7831 Storage Tank; implement required corrective action and close via MOC if needed</t>
  </si>
  <si>
    <t>Jesse Farias</t>
  </si>
  <si>
    <t>FSR and SOP review required.</t>
  </si>
  <si>
    <t>Develop alternate method if truck loading unavailable</t>
  </si>
  <si>
    <t>V-7831</t>
  </si>
  <si>
    <t>Perform engineering evaluation for V-7831; implement required corrective action and close via MOC if needed</t>
  </si>
  <si>
    <t xml:space="preserve">Recommendation rejected </t>
  </si>
  <si>
    <t>Consider independent FSL for nitrogen purge system</t>
  </si>
  <si>
    <t>High Pressure Flare System</t>
  </si>
  <si>
    <t>Perform engineering evaluation for High Pressure Flare System; implement required corrective action and close via MOC if needed</t>
  </si>
  <si>
    <t>Review PHA Node</t>
  </si>
  <si>
    <t>Update P&amp;ID EF-505 for off-spec line</t>
  </si>
  <si>
    <t>Line 505006</t>
  </si>
  <si>
    <t>Perform engineering evaluation for Line 505006; implement required corrective action and close via MOC if needed</t>
  </si>
  <si>
    <t>Confirm valve inclusion in operating procedures</t>
  </si>
  <si>
    <t>Solvent Feed System</t>
  </si>
  <si>
    <t>Develop or revise operating procedure for Solvent Feed System; train personnel</t>
  </si>
  <si>
    <t>Confirm XFC sizing for TK-105 vacuum protection</t>
  </si>
  <si>
    <t>TK-105</t>
  </si>
  <si>
    <t>Perform engineering evaluation for TK-105; implement required corrective action and close via MOC if needed</t>
  </si>
  <si>
    <t xml:space="preserve">TK-105 belongs to SI </t>
  </si>
  <si>
    <t>Upgrade condensate sampling to detect solvent</t>
  </si>
  <si>
    <t>E-7514 Reboiler</t>
  </si>
  <si>
    <t>Perform engineering evaluation for E-7514 Reboiler; implement required corrective action and close via MOC if needed</t>
  </si>
  <si>
    <t>Review and implement upgraded sample practices by introducing a cooler.</t>
  </si>
  <si>
    <t>Add valves to carseal list</t>
  </si>
  <si>
    <t>E-7511 Seal Loop</t>
  </si>
  <si>
    <t>Perform engineering evaluation for E-7511 Seal Loop; implement required corrective action and close via MOC if needed</t>
  </si>
  <si>
    <t>Add valve to carseal closed list</t>
  </si>
  <si>
    <t>Line 504019</t>
  </si>
  <si>
    <t>Perform engineering evaluation for Line 504019; implement required corrective action and close via MOC if needed</t>
  </si>
  <si>
    <t>Install low flow switches on pumps P-7502 and P-7503</t>
  </si>
  <si>
    <t>Dry Solvent Pumps</t>
  </si>
  <si>
    <t>Perform engineering evaluation for Dry Solvent Pumps; implement required corrective action and close via MOC if needed</t>
  </si>
  <si>
    <t>Carseal open pump discharge valves</t>
  </si>
  <si>
    <t>P-7502/P-7503</t>
  </si>
  <si>
    <t>Perform engineering evaluation for P-7502/P-7503; implement required corrective action and close via MOC if needed</t>
  </si>
  <si>
    <t>PHA 800/800/900. Review PHA Node</t>
  </si>
  <si>
    <t>Add pipeline PSV on Line 506036</t>
  </si>
  <si>
    <t>Solvent Distribution Line</t>
  </si>
  <si>
    <t>Perform engineering evaluation for Solvent Distribution Line; implement required corrective action and close via MOC if needed</t>
  </si>
  <si>
    <t>Determine if tanker truck can be overpressured</t>
  </si>
  <si>
    <t>Tank Truck Vent System</t>
  </si>
  <si>
    <t>Perform engineering evaluation for Tank Truck Vent System; implement required corrective action and close via MOC if needed</t>
  </si>
  <si>
    <t>Define interlock to shut down P-7831 if deadheaded</t>
  </si>
  <si>
    <t>P-7831 Pump</t>
  </si>
  <si>
    <t>Design, install, and test interlock system for P-7831 Pump; document in SIS records</t>
  </si>
  <si>
    <t xml:space="preserve">PHA 800/800/900. TI available that would indicate increase pressure. </t>
  </si>
  <si>
    <t>Automate or control flame arrestor use after loading</t>
  </si>
  <si>
    <t>Truck Loading System</t>
  </si>
  <si>
    <t>Perform engineering evaluation for Truck Loading System; implement required corrective action and close via MOC if needed</t>
  </si>
  <si>
    <t>PHA 800/800/900. Rejected due to current SOPs implemented.</t>
  </si>
  <si>
    <t>Update P&amp;IDs and carseal list for flare valves</t>
  </si>
  <si>
    <t>Flare Header</t>
  </si>
  <si>
    <t>Review and validate flare system design and controls associated with Flare Header</t>
  </si>
  <si>
    <t>Carseal open valves for firewater and flare feed</t>
  </si>
  <si>
    <t>Firewater + Flare</t>
  </si>
  <si>
    <t>Review and validate flare system design and controls associated with Firewater + Flare</t>
  </si>
  <si>
    <t>Carseal suction and discharge valves for P-7841</t>
  </si>
  <si>
    <t>P-7841 Pumps</t>
  </si>
  <si>
    <t>Perform engineering evaluation for P-7841 Pumps; implement required corrective action and close via MOC if needed</t>
  </si>
  <si>
    <t>PHA 800/800/900. FSR.</t>
  </si>
  <si>
    <t>Carseal valve to E-7842</t>
  </si>
  <si>
    <t>Raw Styrene Cooler</t>
  </si>
  <si>
    <t>Perform engineering evaluation for Raw Styrene Cooler; implement required corrective action and close via MOC if needed</t>
  </si>
  <si>
    <t>Add minimum flow orifice to Raw Styrene Cooler</t>
  </si>
  <si>
    <t>E-7842</t>
  </si>
  <si>
    <t>Perform engineering evaluation for E-7842; implement required corrective action and close via MOC if needed</t>
  </si>
  <si>
    <t>Sample glycol system weekly for VOCs</t>
  </si>
  <si>
    <t>Glycol System</t>
  </si>
  <si>
    <t>Perform engineering evaluation for Glycol System; implement required corrective action and close via MOC if needed</t>
  </si>
  <si>
    <t>Sampled when needed</t>
  </si>
  <si>
    <t>Determine if tanker overpressure possible if HV-80523 fails</t>
  </si>
  <si>
    <t>Recovered Monomers Loading</t>
  </si>
  <si>
    <t>Perform engineering evaluation for Recovered Monomers Loading; implement required corrective action and close via MOC if needed</t>
  </si>
  <si>
    <t>Review all MOCs assigned to personnel and reassign if needed</t>
  </si>
  <si>
    <t>Verify MOC 901 updates P&amp;IDs and completes PSSR</t>
  </si>
  <si>
    <t xml:space="preserve">Review and update MOC 827 flow meter replacement - MOC Canceled </t>
  </si>
  <si>
    <t>Dry Solvent System</t>
  </si>
  <si>
    <t>Perform engineering evaluation for Dry Solvent System; implement required corrective action and close via MOC if needed</t>
  </si>
  <si>
    <t>Review MOC 829 material of construction change</t>
  </si>
  <si>
    <t>E-7512 Tubes</t>
  </si>
  <si>
    <t>Perform engineering evaluation for E-7512 Tubes; implement required corrective action and close via MOC if needed</t>
  </si>
  <si>
    <t>Ensure MOC 932 has PSSR and closure</t>
  </si>
  <si>
    <t>Consider carsealing open valves at discharge of pumps to prevent deadhead</t>
  </si>
  <si>
    <t>Carseal open valves supplying flare seals</t>
  </si>
  <si>
    <t>Flare Seal System</t>
  </si>
  <si>
    <t>Review and validate flare system design and controls associated with Flare Seal System</t>
  </si>
  <si>
    <t>Carseal open suction/discharge valves to prevent pump damage</t>
  </si>
  <si>
    <t>P-7841</t>
  </si>
  <si>
    <t>Perform engineering evaluation for P-7841; implement required corrective action and close via MOC if needed</t>
  </si>
  <si>
    <t>Add minimum flow protection for raw styrene cooler</t>
  </si>
  <si>
    <t>Evaluate valve alignment in firewater distribution during emergency</t>
  </si>
  <si>
    <t>Firewater System</t>
  </si>
  <si>
    <t>Perform engineering evaluation for Firewater System; implement required corrective action and close via MOC if needed</t>
  </si>
  <si>
    <t>Review PHA Node - Valve alignment confirmed</t>
  </si>
  <si>
    <t>Ensure nitrogen purge to flare header is maintained</t>
  </si>
  <si>
    <t>Flare System</t>
  </si>
  <si>
    <t>Review and validate flare system design and controls associated with Flare System</t>
  </si>
  <si>
    <t xml:space="preserve">Vailidate nitrogen flow </t>
  </si>
  <si>
    <t>Install safeguards to prevent tanker truck overpressure</t>
  </si>
  <si>
    <t>Truck Loading</t>
  </si>
  <si>
    <t>Perform engineering evaluation for Truck Loading; implement required corrective action and close via MOC if needed</t>
  </si>
  <si>
    <t xml:space="preserve">Review Safeguards </t>
  </si>
  <si>
    <t>Install safeguards to prevent pump deadhead scenarios</t>
  </si>
  <si>
    <t>Solvent Pumps</t>
  </si>
  <si>
    <t>Perform engineering evaluation for Solvent Pumps; implement required corrective action and close via MOC if needed</t>
  </si>
  <si>
    <t>Ensure interlock testing program is maintained</t>
  </si>
  <si>
    <t>Interlock Systems</t>
  </si>
  <si>
    <t>Design, install, and test interlock system for Interlock Systems; document in SIS records</t>
  </si>
  <si>
    <t>Update P&amp;IDs across facility to reflect current design</t>
  </si>
  <si>
    <t>All Areas</t>
  </si>
  <si>
    <t>Perform engineering evaluation for All Areas; implement required corrective action and close via MOC if needed</t>
  </si>
  <si>
    <t>Ensure MOC program aligns with current plant configuration</t>
  </si>
  <si>
    <t xml:space="preserve">Total </t>
  </si>
  <si>
    <t xml:space="preserve">In-Pro. </t>
  </si>
  <si>
    <t>HAZOP</t>
  </si>
  <si>
    <t>Consider installing a Detector/Alarm in the area of the Chill Water Tank V-7611</t>
  </si>
  <si>
    <t>V-7611 Chill Water Tank / E-7213 Dry BD Cooler</t>
  </si>
  <si>
    <t>Install detector/alarm system and integrate with DCS for early leak detection</t>
  </si>
  <si>
    <t>Ron Vera</t>
  </si>
  <si>
    <t>PHA 100/200</t>
  </si>
  <si>
    <t>Consider adding a low pressure interlock (PSL 105##) on V-7123</t>
  </si>
  <si>
    <t>V-7123 DMDCS Storage Tank</t>
  </si>
  <si>
    <t>Design and implement PSL interlock to prevent vacuum conditions</t>
  </si>
  <si>
    <r>
      <rPr>
        <sz val="11"/>
        <color rgb="FF000000"/>
        <rFont val="Calibri"/>
      </rPr>
      <t xml:space="preserve">Determine if vessel is vaccum rated; </t>
    </r>
    <r>
      <rPr>
        <sz val="11"/>
        <color rgb="FF4F81BD"/>
        <rFont val="Calibri"/>
      </rPr>
      <t xml:space="preserve">Vessel was determined not to be vaccum rated. Emma to evaluate </t>
    </r>
  </si>
  <si>
    <t>Make sure V-7123 is NOT vacuum rated; verify design</t>
  </si>
  <si>
    <t>V-7123 / V-7124 DMDCS Tanks</t>
  </si>
  <si>
    <t>Verify vessel rating and update design documentation if required</t>
  </si>
  <si>
    <t>Desgin reviewed by A. Saber; V-7123 is confirmed not rated for vaccum.</t>
  </si>
  <si>
    <t>Evaluate risk of butadiene thermal expansion in pipeline</t>
  </si>
  <si>
    <t>Wet Butadiene Pipeline to V-7220</t>
  </si>
  <si>
    <t>Perform thermal expansion analysis and add relief protection if needed</t>
  </si>
  <si>
    <t>Based on the PHA BD Pipeline recommendaation not justified.</t>
  </si>
  <si>
    <t>Confirm with supplier that pipeline pressure protection exists</t>
  </si>
  <si>
    <t>Supplier BD Metering System</t>
  </si>
  <si>
    <t>Verify upstream safeguards and document pressure protection</t>
  </si>
  <si>
    <t>Chad Kelly</t>
  </si>
  <si>
    <t>Ensure PSV on V-7220 is designed for external fire case</t>
  </si>
  <si>
    <t>V-7220 Wet Butadiene Tank</t>
  </si>
  <si>
    <t>Validate PSV sizing for fire case per API 521</t>
  </si>
  <si>
    <t>No action required since SPEC Engineering considered an external fire case in the sizing of the PRV</t>
  </si>
  <si>
    <t>Consider additional high alarm on existing pressure or temperature transmitter</t>
  </si>
  <si>
    <t>Add redundant high alarm to warn operators of overpressure</t>
  </si>
  <si>
    <t>Add high-high alarm.</t>
  </si>
  <si>
    <t>Ensure PSV-10 is designed for supplier letdown valve failure</t>
  </si>
  <si>
    <t>Evaluate inlet overpressure scenario and resize PSV if needed</t>
  </si>
  <si>
    <t>No action required since SPEC Engineerirng considered an excess pressure/flow coming from the pipeline and have safeguards in place to protect the equipment.</t>
  </si>
  <si>
    <t>Implement leak detection strategy for Wet Butadiene Storage Tank</t>
  </si>
  <si>
    <t>Install LEL or gas detection with alarm coverage</t>
  </si>
  <si>
    <t>LEL monitors in the area that provide early leak detection of any sudden leaks as well as LDAR fugitive emission checks to detect small leaks.</t>
  </si>
  <si>
    <t>Size PSV for liquid overfill case</t>
  </si>
  <si>
    <t>Perform overfill relief calculation and update PSV sizing</t>
  </si>
  <si>
    <t>No action required since SPEC Engineering considered an uncontrolled flow to the vessel when sizing of the PRV</t>
  </si>
  <si>
    <t>Add low-level alarm on existing LT</t>
  </si>
  <si>
    <t>Configure low-level alarm with operator response procedures</t>
  </si>
  <si>
    <t>Scenario will not cause the consequences described in the report. Process alarm setpoints established for all analog signals to the DCS.</t>
  </si>
  <si>
    <t>Ensure flashing during startup is addressed in procedures</t>
  </si>
  <si>
    <t>Update startup procedures to address flashing risks</t>
  </si>
  <si>
    <t>Flashing will be a normal part of the operation of this vessel. Op SOP 200.2 Butadiene Storage Vessel, Starting flow and normal operation of V-7220 cover expectations</t>
  </si>
  <si>
    <t>Update drawings to include maintenance flow to V-7832</t>
  </si>
  <si>
    <t>V-7832 Recovered Monomer Tank</t>
  </si>
  <si>
    <t>Revise P&amp;IDs to reflect maintenance flow paths</t>
  </si>
  <si>
    <t>To be addresed in area drawing updates.</t>
  </si>
  <si>
    <t>Confirm PSV sizing again for fire exposure</t>
  </si>
  <si>
    <t>Revalidate PSV design basis documentation</t>
  </si>
  <si>
    <t>No action required since SPEC Engineerirng considered an external fire case in the sizing of th PRV</t>
  </si>
  <si>
    <t>Add additional level switch in V-7211</t>
  </si>
  <si>
    <t>V-7211 Monomer Decanter</t>
  </si>
  <si>
    <t>Install redundant level switch for high level protection</t>
  </si>
  <si>
    <t xml:space="preserve">This recommendation is outside of the scope of the BD Pipeline PHA review. </t>
  </si>
  <si>
    <t>Add manual valves from NBL tank to scrubber to CSO list</t>
  </si>
  <si>
    <t>V-7103 → SB-7101</t>
  </si>
  <si>
    <t>Update carseal list and physically secure valve positions</t>
  </si>
  <si>
    <t>Pat Grigsby</t>
  </si>
  <si>
    <r>
      <rPr>
        <sz val="11"/>
        <color rgb="FF000000"/>
        <rFont val="Calibri"/>
        <scheme val="minor"/>
      </rPr>
      <t xml:space="preserve">PHA 100/200 - </t>
    </r>
    <r>
      <rPr>
        <sz val="11"/>
        <color rgb="FFC0504D"/>
        <rFont val="Calibri"/>
        <scheme val="minor"/>
      </rPr>
      <t>Complete; Car seal installed</t>
    </r>
  </si>
  <si>
    <t>Repair LEL monitors to mitigate agitator seal leak risk</t>
  </si>
  <si>
    <t>A-7111 / A-7121 / A-7125</t>
  </si>
  <si>
    <t>Repair or replace LEL detectors and verify coverage</t>
  </si>
  <si>
    <t xml:space="preserve">James Buie </t>
  </si>
  <si>
    <t>Add backup nitrogen regulator to DMDCS surge drum</t>
  </si>
  <si>
    <t>V-7123 / V-7124</t>
  </si>
  <si>
    <t>Install redundant nitrogen supply regulator</t>
  </si>
  <si>
    <r>
      <rPr>
        <sz val="11"/>
        <color rgb="FF000000"/>
        <rFont val="Calibri"/>
        <scheme val="minor"/>
      </rPr>
      <t xml:space="preserve">PHA 100/200 - </t>
    </r>
    <r>
      <rPr>
        <sz val="11"/>
        <color rgb="FFC0504D"/>
        <rFont val="Calibri"/>
        <scheme val="minor"/>
      </rPr>
      <t>There is not a backup regular, but there is a 3" line that ties up from the surge drum to the main drum and equalizes. V-7123 and V-7124</t>
    </r>
  </si>
  <si>
    <t>Verify Irganox system included in Dust Hazard Analysis</t>
  </si>
  <si>
    <t>Irganox Handling System</t>
  </si>
  <si>
    <t>Perform DHA per NFPA 652 and document results</t>
  </si>
  <si>
    <t>Confirm safeguards when loading Irganox into V-7144</t>
  </si>
  <si>
    <t>V-7144 Irganox Tank</t>
  </si>
  <si>
    <t>Evaluate inerting and static controls</t>
  </si>
  <si>
    <t>Add differential pressure loop on filters F-7144A/B</t>
  </si>
  <si>
    <t>F-7144A/B Filters</t>
  </si>
  <si>
    <t>Install DP instrumentation to detect plugging</t>
  </si>
  <si>
    <r>
      <rPr>
        <sz val="11"/>
        <color rgb="FF000000"/>
        <rFont val="Calibri"/>
        <scheme val="minor"/>
      </rPr>
      <t xml:space="preserve">PHA 100/200 - </t>
    </r>
    <r>
      <rPr>
        <sz val="11"/>
        <color rgb="FFC0504D"/>
        <rFont val="Calibri"/>
        <scheme val="minor"/>
      </rPr>
      <t>Action Complete; There is a gauge before and after.</t>
    </r>
  </si>
  <si>
    <t>Develop additional safeguard to prevent loss of Irganox flow</t>
  </si>
  <si>
    <t>Irganox Transfer System</t>
  </si>
  <si>
    <t>Add redundancy or alarm to ensure flow continuity</t>
  </si>
  <si>
    <t>Confirm runaway reaction considered in dryer relief sizing</t>
  </si>
  <si>
    <t>T-7201 / T-7202 Dryers</t>
  </si>
  <si>
    <t>Review relief design for runaway reaction scenario</t>
  </si>
  <si>
    <t>Jesse Frias</t>
  </si>
  <si>
    <t>Improve response to dryer relief to quench tank</t>
  </si>
  <si>
    <t>TK-7210 Quench System</t>
  </si>
  <si>
    <t>Automate or improve emergency response systems</t>
  </si>
  <si>
    <t>Add temperature indication on sample cooler</t>
  </si>
  <si>
    <t>E-7215 Sample Cooler</t>
  </si>
  <si>
    <t>Install TI or verify existing indicator</t>
  </si>
  <si>
    <t>Facility</t>
  </si>
  <si>
    <t>Ensure buried equipment is identified</t>
  </si>
  <si>
    <t>Plant Underground Systems</t>
  </si>
  <si>
    <t>Update drawings and field markers</t>
  </si>
  <si>
    <t>Post signage for classified electrical areas</t>
  </si>
  <si>
    <t>Class I Div Areas</t>
  </si>
  <si>
    <t>Install signage for hazardous area boundaries</t>
  </si>
  <si>
    <t>closed</t>
  </si>
  <si>
    <t>Re-route power lines away from process hazards</t>
  </si>
  <si>
    <t>Plant Electrical Distribution</t>
  </si>
  <si>
    <t>Evaluate routing and relocate if required</t>
  </si>
  <si>
    <t>Human Factors</t>
  </si>
  <si>
    <t>Audit and update instrument bypass procedures</t>
  </si>
  <si>
    <t>Control Systems</t>
  </si>
  <si>
    <t>Review procedures and implement improvements</t>
  </si>
  <si>
    <t>See safety impariment list</t>
  </si>
  <si>
    <t>Evaluate Boiler BMS for safety improvements</t>
  </si>
  <si>
    <t>Boiler System</t>
  </si>
  <si>
    <t>Assess automation and upgrade controls</t>
  </si>
  <si>
    <t>The current Boiler BMS was evaluated and confirmed to include appropriate trips and interlocks, including low water cutoff and flame failure protection, with automatic shutdown functionality. Existing safeguards are considered adequate for safe operation at this time.</t>
  </si>
  <si>
    <t>Evaluate LEL systems for improved safety</t>
  </si>
  <si>
    <t>Plant Gas Detection</t>
  </si>
  <si>
    <t>Assess coverage and upgrade system</t>
  </si>
  <si>
    <t>Add Priority 1 alarm screen</t>
  </si>
  <si>
    <t>Control Room DCS</t>
  </si>
  <si>
    <t>Implement alarm management improvement</t>
  </si>
  <si>
    <t>Verify shift turnover procedure exists</t>
  </si>
  <si>
    <t>Develop or update formal procedure</t>
  </si>
  <si>
    <t>Improve critique of emergency drills</t>
  </si>
  <si>
    <t>Emergency Response Program</t>
  </si>
  <si>
    <t>Implement performance tracking and review</t>
  </si>
  <si>
    <t>Health and Safety (EHS)</t>
  </si>
  <si>
    <t>Improve enforcement of safety policies</t>
  </si>
  <si>
    <t>Site Management</t>
  </si>
  <si>
    <t>Strengthen accountability and compliance tracking</t>
  </si>
  <si>
    <t>LCY strengthened accountability and compliance tracking by implementing an integrated HSE&amp;Q manual, reinforcing program expectations during monthly safety meetings, and maintaining a Safety Observation Program monitored by the Health and Safety Manager to track unsafe conditions and ensure corrective actions are completed.</t>
  </si>
  <si>
    <t>Document and share lessons learned</t>
  </si>
  <si>
    <t>Management Systems</t>
  </si>
  <si>
    <t>Create formal lessons learned program</t>
  </si>
  <si>
    <t>Leadership</t>
  </si>
  <si>
    <t>Confirm PSV 30114 adequacy</t>
  </si>
  <si>
    <t>Polymerization Reactor 1</t>
  </si>
  <si>
    <r>
      <rPr>
        <b/>
        <sz val="11"/>
        <color theme="1"/>
        <rFont val="Calibri"/>
        <family val="2"/>
        <scheme val="minor"/>
      </rPr>
      <t xml:space="preserve">1. </t>
    </r>
    <r>
      <rPr>
        <sz val="11"/>
        <color theme="1"/>
        <rFont val="Calibri"/>
        <family val="2"/>
        <scheme val="minor"/>
      </rPr>
      <t xml:space="preserve">Confirm adequacy of PSVs for credible runaway scenarios.                                             </t>
    </r>
    <r>
      <rPr>
        <b/>
        <sz val="11"/>
        <color theme="1"/>
        <rFont val="Calibri"/>
        <family val="2"/>
        <scheme val="minor"/>
      </rPr>
      <t xml:space="preserve">  2. </t>
    </r>
    <r>
      <rPr>
        <sz val="11"/>
        <color theme="1"/>
        <rFont val="Calibri"/>
        <family val="2"/>
        <scheme val="minor"/>
      </rPr>
      <t xml:space="preserve">Verify that high-pressure shutdown system is independent of the high pressure alarm function.                                  </t>
    </r>
    <r>
      <rPr>
        <b/>
        <sz val="11"/>
        <color theme="1"/>
        <rFont val="Calibri"/>
        <family val="2"/>
        <scheme val="minor"/>
      </rPr>
      <t>3.</t>
    </r>
    <r>
      <rPr>
        <sz val="11"/>
        <color theme="1"/>
        <rFont val="Calibri"/>
        <family val="2"/>
        <scheme val="minor"/>
      </rPr>
      <t xml:space="preserve"> Review fire case venting calculations for the reactor to ensure adequate relieving capacity and safe guards are in place for excess BD addition and cooling water failure scenarios. </t>
    </r>
  </si>
  <si>
    <r>
      <rPr>
        <sz val="11"/>
        <color rgb="FF000000"/>
        <rFont val="Calibri"/>
        <scheme val="minor"/>
      </rPr>
      <t xml:space="preserve">Ron to provide supporting justification documentation, including PSV sizing and relieving calculations, for review and verification. </t>
    </r>
    <r>
      <rPr>
        <sz val="11"/>
        <color rgb="FF00B050"/>
        <rFont val="Calibri"/>
        <scheme val="minor"/>
      </rPr>
      <t>Completed</t>
    </r>
    <r>
      <rPr>
        <sz val="11"/>
        <color rgb="FF000000"/>
        <rFont val="Calibri"/>
        <scheme val="minor"/>
      </rPr>
      <t xml:space="preserve"> </t>
    </r>
  </si>
  <si>
    <t>Confirm PSV 30214 adequacy</t>
  </si>
  <si>
    <t>Polymerization Reactor 2</t>
  </si>
  <si>
    <t>Confirm PSV 30314 adequacy</t>
  </si>
  <si>
    <t>Polymerization Reactor 3</t>
  </si>
  <si>
    <t>Inspect V-7601 for CUI and define inspection frequency</t>
  </si>
  <si>
    <t>Condensate Tank</t>
  </si>
  <si>
    <r>
      <rPr>
        <b/>
        <sz val="11"/>
        <color theme="1"/>
        <rFont val="Calibri"/>
        <family val="2"/>
        <scheme val="minor"/>
      </rPr>
      <t>1.</t>
    </r>
    <r>
      <rPr>
        <sz val="11"/>
        <color theme="1"/>
        <rFont val="Calibri"/>
        <family val="2"/>
        <scheme val="minor"/>
      </rPr>
      <t xml:space="preserve"> Inspect for CUI on V-7601 (condensate tank).                                                                         </t>
    </r>
    <r>
      <rPr>
        <b/>
        <sz val="11"/>
        <color theme="1"/>
        <rFont val="Calibri"/>
        <family val="2"/>
        <scheme val="minor"/>
      </rPr>
      <t xml:space="preserve">2. </t>
    </r>
    <r>
      <rPr>
        <sz val="11"/>
        <color theme="1"/>
        <rFont val="Calibri"/>
        <family val="2"/>
        <scheme val="minor"/>
      </rPr>
      <t xml:space="preserve">Implement a corrosion prevention program that documents inspection intervals and frequency. </t>
    </r>
  </si>
  <si>
    <t>Mechanical Integrity</t>
  </si>
  <si>
    <t xml:space="preserve">Adel Saber </t>
  </si>
  <si>
    <t>Inspection of V-7601 has been completed. A work order has been generated for the upcoming TAR to perform cleaning and coating activities. Inspection frequency for V-7601 has been established at every 5 years as part of the corrosion prevention program.</t>
  </si>
  <si>
    <t>Review PV 62123 fail-close scenario and add IPLs</t>
  </si>
  <si>
    <t>Deaerator</t>
  </si>
  <si>
    <t xml:space="preserve">Evaluate additional IPLs:                                                                                   *O2 analyzer                                                                *Temperature interlock                                       *Minimum flow restriction.                                                     Verfiy steam source adequacy for O2 removal.                </t>
  </si>
  <si>
    <t xml:space="preserve">FSR </t>
  </si>
  <si>
    <t xml:space="preserve">Update FT 60701 scale with high/ low points </t>
  </si>
  <si>
    <t>Cooling Tower (H-7624)</t>
  </si>
  <si>
    <t>Ensure alarms for:                                        *Loss of cooling water                                            *High process temerpatures.</t>
  </si>
  <si>
    <t>FSR</t>
  </si>
  <si>
    <t xml:space="preserve">Set TI 60711 high temperature alarm to protect exchangers </t>
  </si>
  <si>
    <t>Upgrade/replace fuel oil system</t>
  </si>
  <si>
    <t>Diesel/ fuel oil storage tank (V-7621)</t>
  </si>
  <si>
    <t>Reinforce secondary containment and pump shutdown controls</t>
  </si>
  <si>
    <t xml:space="preserve">Frank Chen </t>
  </si>
  <si>
    <t>The original tank has been removed and replaced with a new reduced-capacity tank equipped with integrated secondary containment. The installation provides improved spill prevention and containment protection.</t>
  </si>
  <si>
    <t>Evaluate the Boiler BMS for improving the processing information for automatic safety features</t>
  </si>
  <si>
    <t xml:space="preserve">Current BMS includes trips and interlocks (low water cutoff, flame failure) and provides shutdown protection. </t>
  </si>
  <si>
    <t>Evaluate LEL detection system</t>
  </si>
  <si>
    <t>Gas Detection</t>
  </si>
  <si>
    <t>The current LEL detection system provides combustible gas monitoring with audible alarms in the physical area and alarm notification through the DCS.</t>
  </si>
  <si>
    <t>The system is functional; however, commissioning activities are still pending prior to final acceptance and full implementation.</t>
  </si>
  <si>
    <t>Add a screen for Priority 1 Alarms to improve the ability to quickly assess and troubleshoot the plant</t>
  </si>
  <si>
    <t>Alarm Management</t>
  </si>
  <si>
    <t>Prioritize visibility for critical alarms</t>
  </si>
  <si>
    <t>Alarm management improvements are ongoing, with a significant focus planned for 2027 projects.</t>
  </si>
  <si>
    <t>Improve emergency drill critique</t>
  </si>
  <si>
    <t>Emergency Response</t>
  </si>
  <si>
    <t>As of 2026, LCY’s expectation is to conduct quarterly emergency response drills in addition to annual emergency response training. The Q1 drill was formally critiqued, and corrective actions were identified and assigned for follow-up.</t>
  </si>
  <si>
    <t>N/A</t>
  </si>
  <si>
    <t>Facility Siting</t>
  </si>
  <si>
    <t>Identify all buried equipment</t>
  </si>
  <si>
    <t>Site Infrastructure</t>
  </si>
  <si>
    <t xml:space="preserve">Ensure all buried systems, including process piping, firewater, and utility lines, are accurately identified and clearly depicted on plot plans and P&amp;IDs. </t>
  </si>
  <si>
    <t>Firewater, BD, natural gas, and nitrogen systems have been identified and documented on applicable drawings. Additional work is required to obtain and/or update electrical drawings to ensure all buried electrical systems are accurately identified and incorporated into site documentation.</t>
  </si>
  <si>
    <t>Post Class I boundary signage</t>
  </si>
  <si>
    <t>Electrical Safety</t>
  </si>
  <si>
    <t>Install and maintain Class I boundary signage in accordance with area classification drawings and site electrical safety requirements.</t>
  </si>
  <si>
    <r>
      <rPr>
        <sz val="11"/>
        <color rgb="FF000000"/>
        <rFont val="Calibri"/>
        <scheme val="minor"/>
      </rPr>
      <t>Class I boundary signage to be posted in accordance with applicable area classification drawings and site electrical safety requirements.</t>
    </r>
    <r>
      <rPr>
        <sz val="11"/>
        <color rgb="FF00B050"/>
        <rFont val="Calibri"/>
        <scheme val="minor"/>
      </rPr>
      <t xml:space="preserve"> Completed</t>
    </r>
  </si>
  <si>
    <t>Verify pump shutdown on low suction pressure</t>
  </si>
  <si>
    <t>Multiple Nodes</t>
  </si>
  <si>
    <t>Evaluate need for flow switches on pumps</t>
  </si>
  <si>
    <t>Confirm operator training procedures adequate</t>
  </si>
  <si>
    <t>Validate reactor fire case calculations</t>
  </si>
  <si>
    <t>Polymerization Reactors</t>
  </si>
  <si>
    <t>Confirm independence of PSH and PAH interlocks</t>
  </si>
  <si>
    <t>Reactor Systems</t>
  </si>
  <si>
    <t>Install/verify low level interlocks where applicable</t>
  </si>
  <si>
    <t>Tanks/Pumps</t>
  </si>
  <si>
    <t>Evaluate backup level instrumentation</t>
  </si>
  <si>
    <t>Reflash Tank</t>
  </si>
  <si>
    <t>Assess condenser and cooling alarms (TI 60413 etc.)</t>
  </si>
  <si>
    <t>Cooling/Condensers</t>
  </si>
  <si>
    <t>Confirm corrosion prevention program effectiveness</t>
  </si>
  <si>
    <t>Multiple Assets</t>
  </si>
  <si>
    <t>Verify PM and inspection programs active</t>
  </si>
  <si>
    <t>All Equipment</t>
  </si>
  <si>
    <t>Review wastewater and environmental safeguards</t>
  </si>
  <si>
    <t>Wastewater Systems</t>
  </si>
  <si>
    <t>Evaluate boiler safeguards (BMS, low water cutoff)</t>
  </si>
  <si>
    <t>Confirm firewater system redundancy and reliability</t>
  </si>
  <si>
    <t>Reliability</t>
  </si>
  <si>
    <t>Assess instrumentation reliability and calibration</t>
  </si>
  <si>
    <t>Sitewide</t>
  </si>
  <si>
    <t>Confirm containment and drainage for spills</t>
  </si>
  <si>
    <t>Tank Systems</t>
  </si>
  <si>
    <t>Validate nitrogen and utilities reliability</t>
  </si>
  <si>
    <t>Utilities</t>
  </si>
  <si>
    <t>Audit instrument bypass procedures</t>
  </si>
  <si>
    <t>Programs</t>
  </si>
  <si>
    <t>Enhance shift turnover documentation</t>
  </si>
  <si>
    <t>Enforce existing incident investigation policies</t>
  </si>
  <si>
    <t>Develop lessons learned communication system</t>
  </si>
  <si>
    <t>Review alarm displays and operator usability</t>
  </si>
  <si>
    <t>Control Room</t>
  </si>
  <si>
    <t>Validate operator ability to diagnose upsets</t>
  </si>
  <si>
    <t>Confirm training adequacy for emergency response</t>
  </si>
  <si>
    <t>Training</t>
  </si>
  <si>
    <t>Evaluate rerouting of power lines (not feasible)</t>
  </si>
  <si>
    <t>Item</t>
  </si>
  <si>
    <t>Question</t>
  </si>
  <si>
    <t>Finding</t>
  </si>
  <si>
    <t>Reommendation</t>
  </si>
  <si>
    <t>PSM_element</t>
  </si>
  <si>
    <t>Notes / Response to Recommendation</t>
  </si>
  <si>
    <t>Applicable</t>
  </si>
  <si>
    <t>DueDate</t>
  </si>
  <si>
    <t>Current Status</t>
  </si>
  <si>
    <t>2021 PSM Compliance Audit</t>
  </si>
  <si>
    <t>1</t>
  </si>
  <si>
    <t>19010.119(a)</t>
  </si>
  <si>
    <t xml:space="preserve">At the time of the audit, the Boiler is not considered part of the PSM covered process. An incident happened at Wynnewood where the boiler exploded.  It was cited as PSM covered by OSHA and ruled in favor by the court. </t>
  </si>
  <si>
    <t>Evaluate if boiler should be part of PSM covered process.</t>
  </si>
  <si>
    <t>For practical application, if your boiler:
supplies steam to PSM-covered equipment,
shares controls/interlocks with the process,
is connected through common piping/headers,
or its failure could initiate or worsen a release,
then OSHA could reasonably consider it within the PSM-covered process boundary.</t>
  </si>
  <si>
    <t xml:space="preserve">True </t>
  </si>
  <si>
    <t>2</t>
  </si>
  <si>
    <t>1910.119(a)</t>
  </si>
  <si>
    <t>PSM covered areas not clearly identifed on a plot plan and P&amp;ID's</t>
  </si>
  <si>
    <t>Show PSM covered areas and interaces with neighbors on a plot plan and PID's for clarity.</t>
  </si>
  <si>
    <t>PSM-covered process areas shall be identified and clearly delineated on the LCY plot plan.</t>
  </si>
  <si>
    <t>3</t>
  </si>
  <si>
    <t/>
  </si>
  <si>
    <t>Per employee participation plan 1008.1 Rev. No. 2, monthly safety meeetings are the primary mechanism of employee involvement.  Last monthly meeting happened in July, 2021</t>
  </si>
  <si>
    <t>Ensure monthly meeting are occurrng every month per the procedure since it is primary mechanism of employee involvement per Employee Participation Procedure 1008.1 Rev. No.2</t>
  </si>
  <si>
    <t xml:space="preserve">7 safety meetings are conducted each month to review incident performance, safety observations, and relevenat occupational health and safety topics.                In addition, a monthly safety committee meeting is held with partipations from personnel representing multiple departments across the site. </t>
  </si>
  <si>
    <t>4</t>
  </si>
  <si>
    <t>1910.119(d)3(i)(D)</t>
  </si>
  <si>
    <t>The affect of the 75K project on the PSV sizing has not been evaluated.  The PSV designdoes not include a listing of all credible sources of overpressure.  They only include sizing calculations for governing cases.</t>
  </si>
  <si>
    <t>Evaluate and document the effect of the throughput changes to the plant improvement project (75K project).  Ensure the documentation folows LCY RAGAGEP for PSV sizing.  Per API 520/521 (LCY RAGAGEP for PSV sizing), all the overpressure souces considered s</t>
  </si>
  <si>
    <t>Process Safety Information</t>
  </si>
  <si>
    <t xml:space="preserve">Although a PHA was completed for thr proposed 75K project, LCY has determined that the project will not move forward based on current business needs.  Exisiting PSV sizing remains based on current operating conditions.                                </t>
  </si>
  <si>
    <t>5</t>
  </si>
  <si>
    <t>1910.119(d)(3)(i)(D)</t>
  </si>
  <si>
    <t>PSV 30341 size in the orignal sizing documentation from JB is different (3/4" X 1") from what is depicted on the PID (EF-303 Rev. 20) which is 1"X2"</t>
  </si>
  <si>
    <t>Ensure consistency in PSV sizing documentation and PID's for PSV 30341.  Evaluate and identify the correct size and document the same on PID and PSV sizing documentation.</t>
  </si>
  <si>
    <t xml:space="preserve">Ongoing documentation review effort is being conducted throught the 300 area in preparation for the upcoming PHA to ensure all P&amp;IDs, PSVs, and associated redlines are verfied and updated. </t>
  </si>
  <si>
    <t>Ture</t>
  </si>
  <si>
    <t>6</t>
  </si>
  <si>
    <t>1910.119(d)(3)(i)(G)</t>
  </si>
  <si>
    <t>Material balance has not been updated since 1991 and changes to it have not been evaluated for any project changessuach as the plant improvement project of 2019 (75K project).  Any changes to the material balance should be captured through the MOC process</t>
  </si>
  <si>
    <t>Update material balance document to reflect current plant production rates and whenever any project changes occur.  Use a documentatoin change checklist with MOCs to capture any changes that need to be made to documents such as MB.</t>
  </si>
  <si>
    <t>Material balance updates are ongoing. Projected completion date - 5/10/2026</t>
  </si>
  <si>
    <t>7</t>
  </si>
  <si>
    <t>1910.119(e)(5)</t>
  </si>
  <si>
    <t>Overdue PHA actions:
2016 PHA: 2 actions
2018 PHA: 7 actions</t>
  </si>
  <si>
    <t>Ensure all actions items from previous (2016 and 2018) PHAs are closed as soon as possible.</t>
  </si>
  <si>
    <t>Process Hazard Analysis</t>
  </si>
  <si>
    <t>See PHA Audit 2018 (100,200) &amp; PHA Audit 2016 (300,400,600) for updated status</t>
  </si>
  <si>
    <t>8</t>
  </si>
  <si>
    <t>1910.119 ( e ) (5)</t>
  </si>
  <si>
    <t>Review of PHA procedure (1008.3 Rev. 2) does not define criteria to address and close PHA action items in a timely manner</t>
  </si>
  <si>
    <t>Establish a system to promptly address the PHA finding and recommendations and assure that the recommendations are resolved in a timely manner.  Document the system in PHA procedure 1008.3 Rev. 2</t>
  </si>
  <si>
    <t>Process Hazards Analysis</t>
  </si>
  <si>
    <t xml:space="preserve">PHA findings and recommendations shall be addressed through a formal management review process, including assignment of responsible person, establishment of due dates based on potential severity, and status tracking within the PSM Master Action Item Tracker. PHA Procedure 1008.3 Rev. 2 shall be updated to align with current site practices and action item management. </t>
  </si>
  <si>
    <t>9</t>
  </si>
  <si>
    <t>1910.119 ( e ) (3) (iv)</t>
  </si>
  <si>
    <t xml:space="preserve">2019 PHA consequences: 
Were written with safeguards included.
Worst case credible scenario was not developed.
All applicable consquences such as public health, property damage, environmental impacts and adverse public reaction categories were not evaluated. </t>
  </si>
  <si>
    <t>Ensure to provide guidance for PHA facilitator in the PHA procedure (1008.3 Rev.2) on the following:
1. Consequences identified in the PHA are worst case and do not include safeguards.
2. Evaluate all applicable consequences such as worker health, public health, property damage and environmental impacts</t>
  </si>
  <si>
    <t>Ensure PHA Procedure 1008.3 Rev. 2 defines the process for conducting consequence evaluations using worst-case scenarios while appropriately crediting safeguards in sccordance with LCY severity matrix methodology.</t>
  </si>
  <si>
    <t>10</t>
  </si>
  <si>
    <t>1910.119 (f)(1)(ii)(A)</t>
  </si>
  <si>
    <t>Safety operating limits and the consquences of deviation document are not consistent with the PHA scenarios.</t>
  </si>
  <si>
    <t>LCY should document consequences of deviatoin to include the worst-case scenario which can be derived from the PHA.</t>
  </si>
  <si>
    <t>Operating Procedures</t>
  </si>
  <si>
    <t>Operating procedures are maintained within the area process procedures located on SharePoint. These procedures include established operating limits and identified consequences of deviation. The documented consequences will be reviewed against future PHA scenarios and revised as necessary to ensure consistency and with current process hazard evaluations.</t>
  </si>
  <si>
    <t>11</t>
  </si>
  <si>
    <t>1910.119(f)(1)(iv)</t>
  </si>
  <si>
    <t>Operating procedures do not list all the safety systems and their functions such as PSVs or interlocks.  Since SOPs are used to train operator, safety systems and their functions should be included.</t>
  </si>
  <si>
    <t>Ensure safety systems and their functions are identified in the operating procedures.</t>
  </si>
  <si>
    <t xml:space="preserve">Based on a representitive sample review, it was verified that LCY operating procedures identify applicable safety systems and their intended functions. </t>
  </si>
  <si>
    <t>12</t>
  </si>
  <si>
    <t>1910.119(g)(3)</t>
  </si>
  <si>
    <t>Although the refresher training of the operators is done on an annual basis, there is no formal documentation of the consultation of the operators on the frequency of training.</t>
  </si>
  <si>
    <t>LCY Elastomers should document consultation with employees involved in operating the process on the appropriate frequency for operator refresher training e.g. adding a question at the end of a test on the frequency of training.</t>
  </si>
  <si>
    <t xml:space="preserve">Operator refresher training is conducted annually through review of operating procedures covering routine operations, emergency shutdown procedures, and consequences of deviation. Operator competency is evaluated through annual testing. </t>
  </si>
  <si>
    <t>13</t>
  </si>
  <si>
    <t>1910.119(h)(2)(vi)</t>
  </si>
  <si>
    <t>No information was available at the time fo the audit related to the maintenance of a contract empolyee injury and illness log contractor's work in process areas (OSHA 300 log) that LCY supervises or logged injury and illness information for contractors.</t>
  </si>
  <si>
    <t xml:space="preserve">Develop and maintain a contract employee injury and illness log related to the contractor's work in process areas (i.e. OSHA 300 log) for contractors that LCY supervises or logged injury and illness information for contractors that LCY does not supervise </t>
  </si>
  <si>
    <t>Contractors</t>
  </si>
  <si>
    <t>Contractor safety performance is monitored, documented, and investigated by the HSEQ Department. Contractor Safety Policy SMS-018 clearly defines the responsibilities of both LCY personnel and contractors with respect to contractor safety management requirements.</t>
  </si>
  <si>
    <t>14</t>
  </si>
  <si>
    <t>1910.119(h)(2)(v)</t>
  </si>
  <si>
    <t>There is no formal process to perform periodic audits of the contractors working at the LCY site.</t>
  </si>
  <si>
    <t>Establish and document a system to periodically audit the contractors working on LCY Baytown site based on the requirements of 1910.119(h)(3). Retain the audits for PSM audit purposes.</t>
  </si>
  <si>
    <t>An LCY Contractor Safety Performance Evaluation Form has been developed and implemented.</t>
  </si>
  <si>
    <t>15</t>
  </si>
  <si>
    <t>1910.119(l)(1)</t>
  </si>
  <si>
    <t>Emergency MOC 1144 has been implemented bu the database status of the MOC is still open and not been formally closed.</t>
  </si>
  <si>
    <t>LCY should formally close MOC-1144</t>
  </si>
  <si>
    <t xml:space="preserve">Verify that MOC-1144 is closed. </t>
  </si>
  <si>
    <t>16</t>
  </si>
  <si>
    <t>1910.119(j)(4)(i)</t>
  </si>
  <si>
    <t>Past Due Inspections:
I&amp;E 16 overdue inspections (no work orders assigned)
Rotating - 21 overdue inspections (no work orders assigned)
Rotating - 134 overdue inspections noted to be completed during a shutdown</t>
  </si>
  <si>
    <t>LCY should monitor and measure planned maintenane inspection tasks that are overdue and develop and approve a deferment plan for overdue I&amp;E and rotating equipment inspections.</t>
  </si>
  <si>
    <t>Run past due report</t>
  </si>
  <si>
    <t>Frank Chen</t>
  </si>
  <si>
    <t>17</t>
  </si>
  <si>
    <t>1910.119(j)(4)(iv)</t>
  </si>
  <si>
    <t>129 Fixed equipment work orders show overdue status but the inspections have been completed and the records reports and pictures have not been uploaded to officially close the past due inspections.</t>
  </si>
  <si>
    <t>LCY should document closure of the 129 fixed equipment work orders that show overdue status but have actually been completed.</t>
  </si>
  <si>
    <t>18</t>
  </si>
  <si>
    <t>Overdue inspection of fixed equipment E-7214 has been delayed until 2025.  Auditor learned that the inspection is delayed because opening the equipment the will break the passivation layers.  No formal deferral has been approved or risk analysis completed</t>
  </si>
  <si>
    <t>LCY should complete a risk assessment for the deferred preventive maintenance of E-7214 and approval any deferral plan based on the risk assessment.</t>
  </si>
  <si>
    <t>19</t>
  </si>
  <si>
    <t>1910.119(k) and 1910.252(a)(2)</t>
  </si>
  <si>
    <t>8 of 29 Hot work perimts were deficient in one or more of the following requirements:
1. General checklist for hot work requirements not completed.
2. Time permit issued and/or expiration time not completed.
3. Fire watcher signoff or 30 min fire watch</t>
  </si>
  <si>
    <t>LCY should provide training to hot work permit issuers on the site's hot work procedure to ensure that hot work permits are fully completed both prior to and post hot work activities and that fire protection and prevention hazards are documented.</t>
  </si>
  <si>
    <t>Hot Work Permits</t>
  </si>
  <si>
    <t>Safe work permit training, including hot work permitting, was conducted in 2026 and will continue to be provided annually as refresher training. In addition, LCY plans to transition to an electronic work permit platform, which will help ensure all required fields are completed prior to official permit authorization and  closure and reduce the potential for incomplete documentation.</t>
  </si>
  <si>
    <t>20</t>
  </si>
  <si>
    <t>1910.119(m)(1)</t>
  </si>
  <si>
    <t>Incident investigations are in various stages of completion and 2019-2021 have not been fully closed.  
All 20 incident records for 2021 are shown as "In Progress" and still open.
Incident 28-2020 is still an open investigation
Incidents 2019, 9-2019,3</t>
  </si>
  <si>
    <t>LCY should finalize all documentation to clsoe open 2019,2020, and 2021 incidents and implement steps to prevent similar incidents from occurring.  LCY should establish systems to properly address and resolve incident report findings.</t>
  </si>
  <si>
    <t>Incident Investigation</t>
  </si>
  <si>
    <t>Since 2021, LCY has experienced changes in site leadership and safety support personnel. In 2026, LCY developed and implemented formal protocols that clearly define the processes for reporting, tracking, managing, and investigating incidents and near-miss events.                   All 2021 incidents through 12/7/2021
Incident 28-2020
Incidents 2019
9-2019
32-2019
34-2019
37-2019
39-2019</t>
  </si>
  <si>
    <t>21</t>
  </si>
  <si>
    <t>1910.119(m)(3)</t>
  </si>
  <si>
    <t>Incident investigation teams established to investigate incidents have not been documented in incident investigation reports.</t>
  </si>
  <si>
    <t>Lcy should document the incident investigation team members in incident investigation reports.</t>
  </si>
  <si>
    <t xml:space="preserve">SMS-001 Incident Inestigations clearly defines  site requirements for initiating, conducting, and closing incident investigations. </t>
  </si>
  <si>
    <t>22</t>
  </si>
  <si>
    <t>1910.119(m)(4)(iv) and/or 1910.119(m)(4)(v)</t>
  </si>
  <si>
    <t>Incident contributing factors and/or root causes are not documented in several incident reports
Incidents:
9-2021
16-2021
18-2021
20-2021</t>
  </si>
  <si>
    <t>LCY should ensure that the incident investigation process includes identification of the underlying causes of incidents to understand why the incidents occurred and to develop effective corrective actions to minimize or eliminate serious consequences from</t>
  </si>
  <si>
    <t>Since 2021, LCY has experienced changes in site leadership and safety support personnel. In 2026, LCY developed and implemented formal protocols that clearly define the processes for reporting, tracking, managing, and investigating incidents and near-miss events</t>
  </si>
  <si>
    <t>23</t>
  </si>
  <si>
    <t>1910.119(m)(6)</t>
  </si>
  <si>
    <t>Per auditor interview, incident investigation reports have not been reviewed with affected personnel whose job tasks are relevant to the incident findings.</t>
  </si>
  <si>
    <t>LCY should implement a process to ensure that the incident investigation reports be reviewed with affected personnel whose job tasks are relevant to the incident findings.</t>
  </si>
  <si>
    <t>Investigation findings, including contributing factors, root causes, and corrective actions, are communicated site-wide during monthly safety meetings. Physical copies of incident investigation reports are maintained on file and remain readily accessible for review.</t>
  </si>
  <si>
    <t>24</t>
  </si>
  <si>
    <t>1910.119(n) 1910.120(q)</t>
  </si>
  <si>
    <t>The site was not able to produce documentation of resolution of findings from 12/22/2020 drill critique (some workers were not able to hear alarms in Old Warehouse and Finishing Building)</t>
  </si>
  <si>
    <t>Resolve the findings from 12/22/2020 drill critique to ensure that alarms in the Old Warehouse and Finshing Building can be heard by personnel</t>
  </si>
  <si>
    <t>Emergency Plannign and Response</t>
  </si>
  <si>
    <t>Improving emergency alarm reliability remains an ongoing effort, with planned upgrades being implemented in areas where deficiencies have been identified. In the interim, personnel in these areas rely on radio communication with the emergency response team for emergency notification and response coordination.</t>
  </si>
  <si>
    <t>25</t>
  </si>
  <si>
    <t>1910.119(n) 1910157(c)(1) OSHA General Duty Clause Section 5 (a) (1)</t>
  </si>
  <si>
    <t>Based on site tour hot condensate / steam spray out at beam column 138 marking due to potential failed steam trap.  Steam flow is directly into the path of the nearby fire extinguisher</t>
  </si>
  <si>
    <t>LCY should repair the steam spray out at beam column 138 marking to prevent injury to personnel and allow access to the nearby fire extinguisher</t>
  </si>
  <si>
    <t xml:space="preserve">Repairs completed  </t>
  </si>
  <si>
    <t>Jan King</t>
  </si>
  <si>
    <t>In.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</si>
</sst>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1"/>
      <color theme="1"/>
      <name val="Calibri"/>
      <scheme val="minor"/>
    </font>
    <font>
      <b/>
      <sz val="11"/>
      <name val="Calibri"/>
    </font>
    <font>
      <b/>
      <sz val="11"/>
      <color theme="1"/>
      <name val="Calibri"/>
      <family val="2"/>
      <scheme val="minor"/>
    </font>
    <font>
      <b/>
      <sz val="11"/>
      <name val="Calibri"/>
      <scheme val="minor"/>
    </font>
    <font>
      <sz val="11"/>
      <color rgb="FF000000"/>
      <name val="Calibri"/>
      <family val="2"/>
      <scheme val="minor"/>
    </font>
    <font>
      <b/>
      <sz val="11"/>
      <color theme="0"/>
      <name val="Calibri"/>
      <family val="2"/>
      <scheme val="minor"/>
    </font>
    <font>
      <b/>
      <sz val="20"/>
      <color theme="1"/>
      <name val="Calibri"/>
      <family val="2"/>
      <scheme val="minor"/>
    </font>
    <font>
      <b/>
      <sz val="11"/>
      <name val="Calibri"/>
      <family val="2"/>
    </font>
    <font>
      <sz val="10"/>
      <color indexed="8"/>
      <name val="Arial"/>
      <family val="2"/>
    </font>
    <font>
      <sz val="11"/>
      <color indexed="8"/>
      <name val="Calibri"/>
      <family val="2"/>
    </font>
    <font>
      <b/>
      <sz val="11"/>
      <color indexed="8"/>
      <name val="Calibri"/>
      <family val="2"/>
    </font>
    <font>
      <sz val="11"/>
      <color rgb="FF006100"/>
      <name val="Calibri"/>
      <scheme val="minor"/>
    </font>
    <font>
      <sz val="11"/>
      <color rgb="FF9C0006"/>
      <name val="Calibri"/>
      <scheme val="minor"/>
    </font>
    <font>
      <sz val="11"/>
      <color rgb="FF000000"/>
      <name val="Calibri"/>
    </font>
    <font>
      <sz val="11"/>
      <color rgb="FF4F81BD"/>
      <name val="Calibri"/>
    </font>
    <font>
      <sz val="11"/>
      <color rgb="FF000000"/>
      <name val="Calibri"/>
      <scheme val="minor"/>
    </font>
    <font>
      <sz val="11"/>
      <color rgb="FF00B050"/>
      <name val="Calibri"/>
      <scheme val="minor"/>
    </font>
    <font>
      <sz val="11"/>
      <color rgb="FFC0504D"/>
      <name val="Calibri"/>
      <scheme val="minor"/>
    </font>
    <font>
      <sz val="11"/>
      <color rgb="FFFF0000"/>
      <name val="Calibri"/>
      <scheme val="minor"/>
    </font>
    <font>
      <sz val="11"/>
      <color rgb="FFC0504D"/>
      <name val="Calibri"/>
    </font>
    <font>
      <sz val="11"/>
      <color theme="1"/>
      <name val="Calibri"/>
    </font>
    <font>
      <sz val="11"/>
      <color rgb="FF000000"/>
      <name val="Tahoma"/>
      <family val="2"/>
    </font>
  </fonts>
  <fills count="19">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3"/>
        <bgColor indexed="64"/>
      </patternFill>
    </fill>
    <fill>
      <patternFill patternType="solid">
        <fgColor theme="6" tint="0.79998168889431442"/>
        <bgColor indexed="64"/>
      </patternFill>
    </fill>
    <fill>
      <patternFill patternType="solid">
        <fgColor theme="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theme="6"/>
        <bgColor indexed="64"/>
      </patternFill>
    </fill>
    <fill>
      <patternFill patternType="solid">
        <fgColor rgb="FFFFFF00"/>
        <bgColor indexed="64"/>
      </patternFill>
    </fill>
    <fill>
      <patternFill patternType="solid">
        <fgColor indexed="22"/>
        <bgColor indexed="0"/>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theme="6" tint="0.59999389629810485"/>
        <bgColor indexed="64"/>
      </patternFill>
    </fill>
    <fill>
      <patternFill patternType="solid">
        <fgColor theme="0" tint="-4.9989318521683403E-2"/>
        <bgColor indexed="64"/>
      </patternFill>
    </fill>
  </fills>
  <borders count="2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rgb="FF000000"/>
      </left>
      <right style="medium">
        <color indexed="64"/>
      </right>
      <top style="medium">
        <color rgb="FF000000"/>
      </top>
      <bottom/>
      <diagonal/>
    </border>
    <border>
      <left style="medium">
        <color indexed="64"/>
      </left>
      <right style="medium">
        <color indexed="64"/>
      </right>
      <top style="medium">
        <color rgb="FF000000"/>
      </top>
      <bottom/>
      <diagonal/>
    </border>
    <border>
      <left style="medium">
        <color rgb="FF000000"/>
      </left>
      <right style="medium">
        <color rgb="FF000000"/>
      </right>
      <top style="medium">
        <color rgb="FF000000"/>
      </top>
      <bottom/>
      <diagonal/>
    </border>
    <border>
      <left/>
      <right style="medium">
        <color indexed="64"/>
      </right>
      <top style="medium">
        <color rgb="FF000000"/>
      </top>
      <bottom/>
      <diagonal/>
    </border>
    <border>
      <left style="medium">
        <color indexed="64"/>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9" fillId="0" borderId="0"/>
    <xf numFmtId="0" fontId="12" fillId="15" borderId="0" applyNumberFormat="0" applyBorder="0" applyAlignment="0" applyProtection="0"/>
    <xf numFmtId="0" fontId="13" fillId="16" borderId="0" applyNumberFormat="0" applyBorder="0" applyAlignment="0" applyProtection="0"/>
  </cellStyleXfs>
  <cellXfs count="178">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4" fillId="3" borderId="2" xfId="0" applyFont="1" applyFill="1" applyBorder="1" applyAlignment="1">
      <alignment horizontal="center" vertical="top"/>
    </xf>
    <xf numFmtId="0" fontId="4" fillId="3" borderId="2" xfId="0" applyFont="1" applyFill="1" applyBorder="1" applyAlignment="1">
      <alignment horizontal="center" vertical="top" wrapText="1"/>
    </xf>
    <xf numFmtId="0" fontId="5" fillId="0" borderId="3" xfId="0" applyFont="1" applyBorder="1" applyAlignment="1">
      <alignment horizontal="left" vertical="top"/>
    </xf>
    <xf numFmtId="0" fontId="5" fillId="0" borderId="3" xfId="0" applyFont="1" applyBorder="1" applyAlignment="1">
      <alignment horizontal="left" vertical="top" wrapText="1"/>
    </xf>
    <xf numFmtId="0" fontId="0" fillId="0" borderId="3" xfId="0" applyBorder="1" applyAlignment="1">
      <alignment horizontal="left" vertical="top"/>
    </xf>
    <xf numFmtId="0" fontId="0" fillId="4" borderId="0" xfId="0" applyFill="1"/>
    <xf numFmtId="0" fontId="7" fillId="4" borderId="0" xfId="0" applyFont="1" applyFill="1"/>
    <xf numFmtId="0" fontId="6" fillId="5" borderId="0" xfId="0" applyFont="1" applyFill="1"/>
    <xf numFmtId="0" fontId="0" fillId="6" borderId="0" xfId="0" applyFill="1"/>
    <xf numFmtId="0" fontId="3" fillId="6" borderId="0" xfId="0" applyFont="1" applyFill="1"/>
    <xf numFmtId="0" fontId="3" fillId="6" borderId="0" xfId="0" applyFont="1" applyFill="1" applyAlignment="1">
      <alignment horizontal="center"/>
    </xf>
    <xf numFmtId="164" fontId="3" fillId="6" borderId="0" xfId="0" applyNumberFormat="1" applyFont="1" applyFill="1"/>
    <xf numFmtId="0" fontId="0" fillId="5" borderId="0" xfId="0" applyFill="1"/>
    <xf numFmtId="0" fontId="6" fillId="5" borderId="0" xfId="0" applyFont="1" applyFill="1" applyAlignment="1">
      <alignment horizontal="center"/>
    </xf>
    <xf numFmtId="0" fontId="6" fillId="5" borderId="0" xfId="0" applyFont="1" applyFill="1" applyAlignment="1">
      <alignment horizontal="left"/>
    </xf>
    <xf numFmtId="0" fontId="0" fillId="6" borderId="0" xfId="0" applyFill="1" applyAlignment="1">
      <alignment horizontal="left"/>
    </xf>
    <xf numFmtId="0" fontId="3" fillId="7" borderId="0" xfId="0" applyFont="1" applyFill="1"/>
    <xf numFmtId="0" fontId="3" fillId="8" borderId="0" xfId="0" applyFont="1" applyFill="1"/>
    <xf numFmtId="0" fontId="3" fillId="9" borderId="0" xfId="0" applyFont="1" applyFill="1"/>
    <xf numFmtId="0" fontId="2" fillId="2" borderId="2" xfId="0" applyFont="1" applyFill="1" applyBorder="1" applyAlignment="1">
      <alignment horizontal="center" vertical="top"/>
    </xf>
    <xf numFmtId="0" fontId="0" fillId="0" borderId="3" xfId="0" applyBorder="1" applyAlignment="1">
      <alignment horizontal="left" vertical="top" wrapText="1"/>
    </xf>
    <xf numFmtId="0" fontId="2" fillId="2" borderId="2" xfId="0" applyFont="1" applyFill="1" applyBorder="1" applyAlignment="1">
      <alignment horizontal="center" vertical="top" wrapText="1"/>
    </xf>
    <xf numFmtId="0" fontId="3" fillId="2" borderId="2" xfId="0" applyFont="1" applyFill="1" applyBorder="1" applyAlignment="1">
      <alignment horizontal="center" vertical="top" wrapText="1"/>
    </xf>
    <xf numFmtId="164" fontId="3" fillId="6" borderId="0" xfId="0" applyNumberFormat="1" applyFont="1" applyFill="1" applyAlignment="1">
      <alignment horizontal="right"/>
    </xf>
    <xf numFmtId="0" fontId="0" fillId="0" borderId="0" xfId="0" applyAlignment="1">
      <alignment vertical="top" wrapText="1"/>
    </xf>
    <xf numFmtId="164" fontId="3" fillId="6" borderId="0" xfId="0" applyNumberFormat="1" applyFont="1" applyFill="1" applyAlignment="1">
      <alignment horizontal="center"/>
    </xf>
    <xf numFmtId="0" fontId="3" fillId="2" borderId="4" xfId="0" applyFont="1" applyFill="1" applyBorder="1" applyAlignment="1">
      <alignment horizontal="left" vertical="top"/>
    </xf>
    <xf numFmtId="0" fontId="3" fillId="10" borderId="5" xfId="0" applyFont="1" applyFill="1" applyBorder="1" applyAlignment="1">
      <alignment horizontal="left" vertical="top"/>
    </xf>
    <xf numFmtId="0" fontId="3" fillId="11" borderId="5" xfId="0" applyFont="1" applyFill="1" applyBorder="1" applyAlignment="1">
      <alignment horizontal="left" vertical="top"/>
    </xf>
    <xf numFmtId="0" fontId="3" fillId="12" borderId="6" xfId="0" applyFont="1" applyFill="1" applyBorder="1" applyAlignment="1">
      <alignment horizontal="left" vertical="top"/>
    </xf>
    <xf numFmtId="0" fontId="3" fillId="2" borderId="1" xfId="0" applyFont="1" applyFill="1" applyBorder="1" applyAlignment="1">
      <alignment horizontal="left" vertical="top"/>
    </xf>
    <xf numFmtId="0" fontId="3" fillId="10" borderId="7" xfId="0" applyFont="1" applyFill="1" applyBorder="1" applyAlignment="1">
      <alignment horizontal="left" vertical="top"/>
    </xf>
    <xf numFmtId="0" fontId="3" fillId="11" borderId="7" xfId="0" applyFont="1" applyFill="1" applyBorder="1" applyAlignment="1">
      <alignment horizontal="left" vertical="top"/>
    </xf>
    <xf numFmtId="0" fontId="3" fillId="12" borderId="8" xfId="0" applyFont="1" applyFill="1" applyBorder="1" applyAlignment="1">
      <alignment horizontal="left" vertical="top"/>
    </xf>
    <xf numFmtId="0" fontId="3" fillId="2" borderId="4" xfId="0" applyFont="1" applyFill="1" applyBorder="1" applyAlignment="1">
      <alignment horizontal="left" wrapText="1"/>
    </xf>
    <xf numFmtId="0" fontId="3" fillId="10" borderId="5" xfId="0" applyFont="1" applyFill="1" applyBorder="1" applyAlignment="1">
      <alignment horizontal="left" wrapText="1"/>
    </xf>
    <xf numFmtId="0" fontId="3" fillId="11" borderId="5" xfId="0" applyFont="1" applyFill="1" applyBorder="1" applyAlignment="1">
      <alignment horizontal="left" wrapText="1"/>
    </xf>
    <xf numFmtId="0" fontId="3" fillId="2" borderId="1" xfId="0" applyFont="1" applyFill="1" applyBorder="1"/>
    <xf numFmtId="0" fontId="3" fillId="10" borderId="7" xfId="0" applyFont="1" applyFill="1" applyBorder="1"/>
    <xf numFmtId="0" fontId="3" fillId="11" borderId="7" xfId="0" applyFont="1" applyFill="1" applyBorder="1"/>
    <xf numFmtId="0" fontId="3" fillId="12" borderId="8" xfId="0" applyFont="1" applyFill="1" applyBorder="1"/>
    <xf numFmtId="0" fontId="3" fillId="6" borderId="0" xfId="0" applyFont="1" applyFill="1" applyAlignment="1">
      <alignment horizontal="right"/>
    </xf>
    <xf numFmtId="0" fontId="3" fillId="4" borderId="9" xfId="0" applyFont="1" applyFill="1" applyBorder="1"/>
    <xf numFmtId="0" fontId="0" fillId="4" borderId="9" xfId="0" applyFill="1" applyBorder="1"/>
    <xf numFmtId="0" fontId="3" fillId="2" borderId="4" xfId="0" applyFont="1" applyFill="1" applyBorder="1"/>
    <xf numFmtId="0" fontId="3" fillId="10" borderId="5" xfId="0" applyFont="1" applyFill="1" applyBorder="1"/>
    <xf numFmtId="0" fontId="3" fillId="11" borderId="5" xfId="0" applyFont="1" applyFill="1" applyBorder="1"/>
    <xf numFmtId="0" fontId="3" fillId="12" borderId="6" xfId="0" applyFont="1" applyFill="1" applyBorder="1"/>
    <xf numFmtId="0" fontId="11" fillId="2" borderId="1" xfId="1" applyFont="1" applyFill="1" applyBorder="1" applyAlignment="1">
      <alignment horizontal="left" vertical="top" wrapText="1"/>
    </xf>
    <xf numFmtId="0" fontId="11" fillId="10" borderId="7" xfId="1" applyFont="1" applyFill="1" applyBorder="1" applyAlignment="1">
      <alignment horizontal="left" vertical="top" wrapText="1"/>
    </xf>
    <xf numFmtId="0" fontId="11" fillId="11" borderId="7" xfId="1" applyFont="1" applyFill="1" applyBorder="1" applyAlignment="1">
      <alignment horizontal="left" vertical="top" wrapText="1"/>
    </xf>
    <xf numFmtId="0" fontId="11" fillId="12" borderId="8" xfId="1" applyFont="1" applyFill="1" applyBorder="1" applyAlignment="1">
      <alignment horizontal="left" vertical="top" wrapText="1"/>
    </xf>
    <xf numFmtId="0" fontId="10" fillId="0" borderId="10" xfId="1" applyFont="1" applyBorder="1" applyAlignment="1">
      <alignment horizontal="left" vertical="top" wrapText="1"/>
    </xf>
    <xf numFmtId="0" fontId="9" fillId="0" borderId="10" xfId="1" applyBorder="1" applyAlignment="1">
      <alignment horizontal="left" vertical="top"/>
    </xf>
    <xf numFmtId="0" fontId="0" fillId="0" borderId="10" xfId="0" applyBorder="1" applyAlignment="1">
      <alignment horizontal="left" vertical="top" wrapText="1"/>
    </xf>
    <xf numFmtId="14" fontId="9" fillId="0" borderId="10" xfId="1" applyNumberFormat="1" applyBorder="1" applyAlignment="1">
      <alignment horizontal="left" vertical="top"/>
    </xf>
    <xf numFmtId="0" fontId="10" fillId="0" borderId="3" xfId="1" applyFont="1" applyBorder="1" applyAlignment="1">
      <alignment horizontal="left" vertical="top" wrapText="1"/>
    </xf>
    <xf numFmtId="0" fontId="9" fillId="0" borderId="3" xfId="1" applyBorder="1" applyAlignment="1">
      <alignment horizontal="left" vertical="top"/>
    </xf>
    <xf numFmtId="0" fontId="11" fillId="13" borderId="2" xfId="1" applyFont="1" applyFill="1" applyBorder="1" applyAlignment="1">
      <alignment horizontal="center" vertical="top"/>
    </xf>
    <xf numFmtId="0" fontId="11" fillId="13" borderId="2" xfId="1" applyFont="1" applyFill="1" applyBorder="1" applyAlignment="1">
      <alignment horizontal="center" vertical="top" wrapText="1"/>
    </xf>
    <xf numFmtId="0" fontId="11" fillId="13" borderId="11" xfId="1" applyFont="1" applyFill="1" applyBorder="1" applyAlignment="1">
      <alignment horizontal="center" vertical="top"/>
    </xf>
    <xf numFmtId="0" fontId="8" fillId="2" borderId="1" xfId="0" applyFont="1" applyFill="1" applyBorder="1" applyAlignment="1">
      <alignment horizontal="center" vertical="top"/>
    </xf>
    <xf numFmtId="0" fontId="5" fillId="10" borderId="0" xfId="0" applyFont="1" applyFill="1" applyAlignment="1">
      <alignment horizontal="left" vertical="top"/>
    </xf>
    <xf numFmtId="0" fontId="5" fillId="14" borderId="0" xfId="0" applyFont="1" applyFill="1" applyAlignment="1">
      <alignment horizontal="left" vertical="top"/>
    </xf>
    <xf numFmtId="0" fontId="5" fillId="6" borderId="0" xfId="0" applyFont="1" applyFill="1" applyAlignment="1">
      <alignment horizontal="left" vertical="top"/>
    </xf>
    <xf numFmtId="0" fontId="5" fillId="3" borderId="0" xfId="0" applyFont="1" applyFill="1" applyAlignment="1">
      <alignment horizontal="left" vertical="top"/>
    </xf>
    <xf numFmtId="0" fontId="5" fillId="3" borderId="0" xfId="0" applyFont="1" applyFill="1" applyAlignment="1">
      <alignment horizontal="left" vertical="top" wrapText="1"/>
    </xf>
    <xf numFmtId="0" fontId="0" fillId="3" borderId="0" xfId="0" applyFill="1"/>
    <xf numFmtId="0" fontId="5" fillId="0" borderId="0" xfId="0" applyFont="1" applyAlignment="1">
      <alignment vertical="top"/>
    </xf>
    <xf numFmtId="0" fontId="5" fillId="3" borderId="0" xfId="0" applyFont="1" applyFill="1" applyAlignment="1">
      <alignment vertical="top"/>
    </xf>
    <xf numFmtId="0" fontId="5" fillId="3" borderId="0" xfId="0" applyFont="1" applyFill="1" applyAlignment="1">
      <alignment vertical="top" wrapText="1"/>
    </xf>
    <xf numFmtId="0" fontId="0" fillId="3" borderId="0" xfId="0" applyFill="1" applyAlignment="1">
      <alignment horizontal="left" vertical="top"/>
    </xf>
    <xf numFmtId="0" fontId="0" fillId="3" borderId="0" xfId="0" applyFill="1" applyAlignment="1">
      <alignment horizontal="left" vertical="top" wrapText="1"/>
    </xf>
    <xf numFmtId="0" fontId="5" fillId="0" borderId="10" xfId="0" applyFont="1" applyBorder="1" applyAlignment="1">
      <alignment horizontal="left" vertical="top"/>
    </xf>
    <xf numFmtId="0" fontId="5" fillId="0" borderId="10" xfId="0" applyFont="1" applyBorder="1" applyAlignment="1">
      <alignment horizontal="left" vertical="top" wrapText="1"/>
    </xf>
    <xf numFmtId="0" fontId="0" fillId="0" borderId="10" xfId="0" applyBorder="1" applyAlignment="1">
      <alignment horizontal="left" vertical="top"/>
    </xf>
    <xf numFmtId="0" fontId="4" fillId="3" borderId="10" xfId="0" applyFont="1" applyFill="1" applyBorder="1" applyAlignment="1">
      <alignment horizontal="center" vertical="top"/>
    </xf>
    <xf numFmtId="0" fontId="4" fillId="3" borderId="10" xfId="0" applyFont="1" applyFill="1" applyBorder="1" applyAlignment="1">
      <alignment horizontal="center" vertical="top" wrapText="1"/>
    </xf>
    <xf numFmtId="0" fontId="5" fillId="0" borderId="10" xfId="0" applyFont="1" applyBorder="1" applyAlignment="1">
      <alignment vertical="top"/>
    </xf>
    <xf numFmtId="0" fontId="5" fillId="0" borderId="10" xfId="0" applyFont="1" applyBorder="1" applyAlignment="1">
      <alignment vertical="top" wrapText="1"/>
    </xf>
    <xf numFmtId="0" fontId="0" fillId="0" borderId="10" xfId="0" applyBorder="1" applyAlignment="1">
      <alignment vertical="top" wrapText="1"/>
    </xf>
    <xf numFmtId="0" fontId="0" fillId="0" borderId="10" xfId="0" applyBorder="1" applyAlignment="1">
      <alignment wrapText="1"/>
    </xf>
    <xf numFmtId="0" fontId="12" fillId="15" borderId="10" xfId="2" applyBorder="1" applyAlignment="1">
      <alignment horizontal="left" vertical="top" wrapText="1"/>
    </xf>
    <xf numFmtId="0" fontId="3" fillId="12" borderId="6" xfId="0" applyFont="1" applyFill="1" applyBorder="1" applyAlignment="1">
      <alignment horizontal="left" wrapText="1"/>
    </xf>
    <xf numFmtId="0" fontId="13" fillId="16" borderId="10" xfId="3" applyBorder="1" applyAlignment="1">
      <alignment horizontal="left" vertical="top"/>
    </xf>
    <xf numFmtId="0" fontId="14" fillId="0" borderId="10" xfId="0" applyFont="1" applyBorder="1" applyAlignment="1">
      <alignment vertical="top" wrapText="1"/>
    </xf>
    <xf numFmtId="0" fontId="16" fillId="0" borderId="10" xfId="0" applyFont="1" applyBorder="1" applyAlignment="1">
      <alignment vertical="top" wrapText="1"/>
    </xf>
    <xf numFmtId="0" fontId="21" fillId="0" borderId="10" xfId="0" applyFont="1" applyBorder="1" applyAlignment="1">
      <alignment horizontal="left" vertical="top" wrapText="1"/>
    </xf>
    <xf numFmtId="0" fontId="0" fillId="17" borderId="3" xfId="0" applyFill="1" applyBorder="1" applyAlignment="1">
      <alignment horizontal="left" vertical="top" wrapText="1"/>
    </xf>
    <xf numFmtId="0" fontId="0" fillId="17" borderId="10" xfId="0" applyFill="1" applyBorder="1" applyAlignment="1">
      <alignment horizontal="left" vertical="top" wrapText="1"/>
    </xf>
    <xf numFmtId="0" fontId="2" fillId="2" borderId="19" xfId="0" applyFont="1" applyFill="1" applyBorder="1" applyAlignment="1">
      <alignment horizontal="center" vertical="top"/>
    </xf>
    <xf numFmtId="0" fontId="2" fillId="2" borderId="20" xfId="0" applyFont="1" applyFill="1" applyBorder="1" applyAlignment="1">
      <alignment horizontal="center" vertical="top" wrapText="1"/>
    </xf>
    <xf numFmtId="0" fontId="2" fillId="2" borderId="20" xfId="0" applyFont="1" applyFill="1" applyBorder="1" applyAlignment="1">
      <alignment horizontal="center" vertical="top"/>
    </xf>
    <xf numFmtId="0" fontId="8" fillId="2" borderId="21" xfId="0" applyFont="1" applyFill="1" applyBorder="1" applyAlignment="1">
      <alignment horizontal="center" vertical="top"/>
    </xf>
    <xf numFmtId="0" fontId="2" fillId="2" borderId="22" xfId="0" applyFont="1" applyFill="1" applyBorder="1" applyAlignment="1">
      <alignment horizontal="center" vertical="top"/>
    </xf>
    <xf numFmtId="0" fontId="3" fillId="2" borderId="23" xfId="0" applyFont="1" applyFill="1" applyBorder="1" applyAlignment="1">
      <alignment horizontal="center" vertical="top" wrapText="1"/>
    </xf>
    <xf numFmtId="0" fontId="3" fillId="0" borderId="0" xfId="0" applyFont="1"/>
    <xf numFmtId="0" fontId="0" fillId="0" borderId="0" xfId="0" applyAlignment="1">
      <alignment horizontal="center"/>
    </xf>
    <xf numFmtId="0" fontId="0" fillId="0" borderId="12" xfId="0" applyBorder="1" applyAlignment="1">
      <alignment horizontal="center" vertical="top"/>
    </xf>
    <xf numFmtId="0" fontId="0" fillId="0" borderId="12" xfId="0" applyBorder="1" applyAlignment="1">
      <alignment horizontal="left" vertical="top"/>
    </xf>
    <xf numFmtId="0" fontId="22" fillId="0" borderId="12" xfId="0" applyFont="1" applyBorder="1" applyAlignment="1">
      <alignment horizontal="left" vertical="top" wrapText="1"/>
    </xf>
    <xf numFmtId="0" fontId="0" fillId="0" borderId="12" xfId="0" applyBorder="1"/>
    <xf numFmtId="0" fontId="0" fillId="0" borderId="13" xfId="0" applyBorder="1" applyAlignment="1">
      <alignment horizontal="center" vertical="top"/>
    </xf>
    <xf numFmtId="0" fontId="0" fillId="0" borderId="13" xfId="0" applyBorder="1" applyAlignment="1">
      <alignment horizontal="left" vertical="top"/>
    </xf>
    <xf numFmtId="0" fontId="22" fillId="0" borderId="13" xfId="0" applyFont="1" applyBorder="1" applyAlignment="1">
      <alignment horizontal="left" vertical="top" wrapText="1"/>
    </xf>
    <xf numFmtId="0" fontId="0" fillId="0" borderId="13" xfId="0" applyBorder="1"/>
    <xf numFmtId="0" fontId="22" fillId="0" borderId="17" xfId="0" applyFont="1" applyBorder="1" applyAlignment="1">
      <alignment horizontal="left" vertical="top" wrapText="1"/>
    </xf>
    <xf numFmtId="0" fontId="0" fillId="0" borderId="12" xfId="0" applyBorder="1" applyAlignment="1">
      <alignment vertical="top"/>
    </xf>
    <xf numFmtId="0" fontId="22" fillId="0" borderId="12" xfId="0" applyFont="1" applyBorder="1" applyAlignment="1">
      <alignment vertical="top" wrapText="1"/>
    </xf>
    <xf numFmtId="0" fontId="0" fillId="0" borderId="12" xfId="0" applyBorder="1" applyAlignment="1">
      <alignment horizontal="center"/>
    </xf>
    <xf numFmtId="0" fontId="0" fillId="0" borderId="13" xfId="0" applyBorder="1" applyAlignment="1">
      <alignment vertical="top"/>
    </xf>
    <xf numFmtId="0" fontId="22" fillId="0" borderId="13" xfId="0" applyFont="1" applyBorder="1" applyAlignment="1">
      <alignment vertical="top" wrapText="1"/>
    </xf>
    <xf numFmtId="0" fontId="0" fillId="0" borderId="13" xfId="0" applyBorder="1" applyAlignment="1">
      <alignment horizontal="center"/>
    </xf>
    <xf numFmtId="0" fontId="22" fillId="0" borderId="12" xfId="0" applyFont="1" applyBorder="1" applyAlignment="1">
      <alignment horizontal="center" vertical="top" wrapText="1"/>
    </xf>
    <xf numFmtId="0" fontId="22" fillId="0" borderId="13" xfId="0" applyFont="1" applyBorder="1" applyAlignment="1">
      <alignment horizontal="center" vertical="top" wrapText="1"/>
    </xf>
    <xf numFmtId="0" fontId="0" fillId="0" borderId="15" xfId="0" applyBorder="1" applyAlignment="1">
      <alignment horizontal="center" vertical="top"/>
    </xf>
    <xf numFmtId="0" fontId="0" fillId="0" borderId="15" xfId="0" applyBorder="1" applyAlignment="1">
      <alignment horizontal="left" vertical="top"/>
    </xf>
    <xf numFmtId="0" fontId="22" fillId="0" borderId="15" xfId="0" applyFont="1" applyBorder="1" applyAlignment="1">
      <alignment horizontal="left" vertical="top" wrapText="1"/>
    </xf>
    <xf numFmtId="0" fontId="0" fillId="18" borderId="12" xfId="0" applyFill="1" applyBorder="1" applyAlignment="1">
      <alignment horizontal="center" vertical="top"/>
    </xf>
    <xf numFmtId="0" fontId="0" fillId="18" borderId="12" xfId="0" applyFill="1" applyBorder="1" applyAlignment="1">
      <alignment horizontal="left" vertical="top"/>
    </xf>
    <xf numFmtId="0" fontId="22" fillId="18" borderId="12" xfId="0" applyFont="1" applyFill="1" applyBorder="1" applyAlignment="1">
      <alignment horizontal="left" vertical="top" wrapText="1"/>
    </xf>
    <xf numFmtId="0" fontId="22" fillId="18" borderId="12" xfId="0" applyFont="1" applyFill="1" applyBorder="1" applyAlignment="1">
      <alignment horizontal="center" vertical="top" wrapText="1"/>
    </xf>
    <xf numFmtId="0" fontId="0" fillId="18" borderId="13" xfId="0" applyFill="1" applyBorder="1" applyAlignment="1">
      <alignment horizontal="center"/>
    </xf>
    <xf numFmtId="0" fontId="0" fillId="18" borderId="13" xfId="0" applyFill="1" applyBorder="1" applyAlignment="1">
      <alignment horizontal="center" vertical="top"/>
    </xf>
    <xf numFmtId="0" fontId="0" fillId="18" borderId="13" xfId="0" applyFill="1" applyBorder="1" applyAlignment="1">
      <alignment horizontal="left" vertical="top"/>
    </xf>
    <xf numFmtId="0" fontId="22" fillId="18" borderId="13" xfId="0" applyFont="1" applyFill="1" applyBorder="1" applyAlignment="1">
      <alignment horizontal="left" vertical="top" wrapText="1"/>
    </xf>
    <xf numFmtId="0" fontId="22" fillId="18" borderId="13" xfId="0" applyFont="1" applyFill="1" applyBorder="1" applyAlignment="1">
      <alignment horizontal="center" vertical="top" wrapText="1"/>
    </xf>
    <xf numFmtId="0" fontId="0" fillId="18" borderId="15" xfId="0" applyFill="1" applyBorder="1" applyAlignment="1">
      <alignment horizontal="center"/>
    </xf>
    <xf numFmtId="0" fontId="0" fillId="18" borderId="13" xfId="0" applyFill="1" applyBorder="1"/>
    <xf numFmtId="0" fontId="0" fillId="18" borderId="15" xfId="0" applyFill="1" applyBorder="1" applyAlignment="1">
      <alignment horizontal="center" vertical="top"/>
    </xf>
    <xf numFmtId="0" fontId="0" fillId="18" borderId="15" xfId="0" applyFill="1" applyBorder="1" applyAlignment="1">
      <alignment horizontal="left" vertical="top"/>
    </xf>
    <xf numFmtId="0" fontId="22" fillId="18" borderId="15" xfId="0" applyFont="1" applyFill="1" applyBorder="1" applyAlignment="1">
      <alignment horizontal="left" vertical="top" wrapText="1"/>
    </xf>
    <xf numFmtId="0" fontId="22" fillId="18" borderId="15" xfId="0" applyFont="1" applyFill="1" applyBorder="1" applyAlignment="1">
      <alignment horizontal="center" vertical="top" wrapText="1"/>
    </xf>
    <xf numFmtId="0" fontId="0" fillId="18" borderId="15" xfId="0" applyFill="1" applyBorder="1"/>
    <xf numFmtId="0" fontId="22" fillId="18" borderId="26" xfId="0" applyFont="1" applyFill="1" applyBorder="1" applyAlignment="1">
      <alignment horizontal="left" vertical="top" wrapText="1"/>
    </xf>
    <xf numFmtId="0" fontId="22" fillId="18" borderId="17" xfId="0" applyFont="1" applyFill="1" applyBorder="1" applyAlignment="1">
      <alignment horizontal="left" vertical="top" wrapText="1"/>
    </xf>
    <xf numFmtId="0" fontId="22" fillId="18" borderId="24" xfId="0" applyFont="1" applyFill="1" applyBorder="1" applyAlignment="1">
      <alignment horizontal="left" vertical="top" wrapText="1"/>
    </xf>
    <xf numFmtId="0" fontId="22" fillId="18" borderId="26" xfId="0" applyFont="1" applyFill="1" applyBorder="1" applyAlignment="1">
      <alignment horizontal="center" vertical="top" wrapText="1"/>
    </xf>
    <xf numFmtId="0" fontId="22" fillId="18" borderId="16" xfId="0" applyFont="1" applyFill="1" applyBorder="1" applyAlignment="1">
      <alignment horizontal="left" vertical="top" wrapText="1"/>
    </xf>
    <xf numFmtId="0" fontId="22" fillId="18" borderId="17" xfId="0" applyFont="1" applyFill="1" applyBorder="1" applyAlignment="1">
      <alignment horizontal="center" vertical="top" wrapText="1"/>
    </xf>
    <xf numFmtId="0" fontId="0" fillId="18" borderId="12" xfId="0" applyFill="1" applyBorder="1" applyAlignment="1">
      <alignment horizontal="center"/>
    </xf>
    <xf numFmtId="0" fontId="0" fillId="18" borderId="12" xfId="0" applyFill="1" applyBorder="1"/>
    <xf numFmtId="0" fontId="0" fillId="0" borderId="0" xfId="0" applyAlignment="1">
      <alignment horizontal="left"/>
    </xf>
    <xf numFmtId="0" fontId="1" fillId="0" borderId="10" xfId="0" applyFont="1" applyBorder="1" applyAlignment="1">
      <alignment horizontal="left" vertical="top" wrapText="1"/>
    </xf>
    <xf numFmtId="0" fontId="1" fillId="0" borderId="3" xfId="0" applyFont="1" applyBorder="1" applyAlignment="1">
      <alignment horizontal="left" vertical="top" wrapText="1"/>
    </xf>
    <xf numFmtId="0" fontId="22" fillId="18" borderId="12" xfId="0" applyFont="1" applyFill="1" applyBorder="1" applyAlignment="1">
      <alignment horizontal="left" vertical="top" wrapText="1"/>
    </xf>
    <xf numFmtId="0" fontId="22" fillId="0" borderId="26" xfId="0" applyFont="1" applyBorder="1" applyAlignment="1">
      <alignment horizontal="left" vertical="top" wrapText="1"/>
    </xf>
    <xf numFmtId="0" fontId="22" fillId="0" borderId="17" xfId="0" applyFont="1" applyBorder="1" applyAlignment="1">
      <alignment horizontal="left" vertical="top" wrapText="1"/>
    </xf>
    <xf numFmtId="0" fontId="0" fillId="18" borderId="13" xfId="0" applyFill="1" applyBorder="1" applyAlignment="1">
      <alignment horizontal="center"/>
    </xf>
    <xf numFmtId="0" fontId="0" fillId="18" borderId="15" xfId="0" applyFill="1"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18" borderId="25" xfId="0" applyFill="1"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18" borderId="12" xfId="0" applyFill="1" applyBorder="1" applyAlignment="1">
      <alignment horizontal="left" vertical="top"/>
    </xf>
    <xf numFmtId="0" fontId="0" fillId="18" borderId="13" xfId="0" applyFill="1" applyBorder="1" applyAlignment="1">
      <alignment horizontal="left" vertical="top"/>
    </xf>
    <xf numFmtId="0" fontId="0" fillId="18" borderId="14" xfId="0" applyFill="1" applyBorder="1" applyAlignment="1">
      <alignment horizontal="center"/>
    </xf>
    <xf numFmtId="0" fontId="0" fillId="0" borderId="14" xfId="0" applyBorder="1" applyAlignment="1">
      <alignment horizontal="center"/>
    </xf>
    <xf numFmtId="0" fontId="0" fillId="18" borderId="12" xfId="0" applyFill="1" applyBorder="1" applyAlignment="1">
      <alignment horizontal="center" vertical="top"/>
    </xf>
    <xf numFmtId="0" fontId="0" fillId="0" borderId="12" xfId="0" applyBorder="1" applyAlignment="1">
      <alignment horizontal="center"/>
    </xf>
    <xf numFmtId="0" fontId="0" fillId="0" borderId="12" xfId="0" applyBorder="1" applyAlignment="1">
      <alignment horizontal="center" vertical="top"/>
    </xf>
    <xf numFmtId="0" fontId="0" fillId="0" borderId="13" xfId="0" applyBorder="1" applyAlignment="1">
      <alignment horizontal="center" vertical="top"/>
    </xf>
    <xf numFmtId="0" fontId="0" fillId="18" borderId="13" xfId="0" applyFill="1" applyBorder="1" applyAlignment="1">
      <alignment horizontal="center" vertical="top"/>
    </xf>
    <xf numFmtId="0" fontId="0" fillId="18" borderId="18" xfId="0" applyFill="1" applyBorder="1" applyAlignment="1">
      <alignment horizontal="center" vertical="top" wrapText="1"/>
    </xf>
    <xf numFmtId="0" fontId="0" fillId="18" borderId="16" xfId="0" applyFill="1" applyBorder="1" applyAlignment="1">
      <alignment horizontal="center" vertical="top" wrapText="1"/>
    </xf>
    <xf numFmtId="0" fontId="0" fillId="0" borderId="24" xfId="0" applyBorder="1" applyAlignment="1">
      <alignment horizontal="center" vertical="top"/>
    </xf>
    <xf numFmtId="0" fontId="0" fillId="0" borderId="16" xfId="0" applyBorder="1" applyAlignment="1">
      <alignment horizontal="center" vertical="top"/>
    </xf>
    <xf numFmtId="0" fontId="22" fillId="18" borderId="13" xfId="0" applyFont="1" applyFill="1" applyBorder="1" applyAlignment="1">
      <alignment horizontal="left" vertical="top" wrapText="1"/>
    </xf>
    <xf numFmtId="0" fontId="22" fillId="0" borderId="12" xfId="0" applyFont="1" applyBorder="1" applyAlignment="1">
      <alignment horizontal="left" vertical="top" wrapText="1"/>
    </xf>
    <xf numFmtId="0" fontId="22" fillId="0" borderId="13" xfId="0" applyFont="1" applyBorder="1" applyAlignment="1">
      <alignment horizontal="left" vertical="top" wrapText="1"/>
    </xf>
    <xf numFmtId="0" fontId="22" fillId="18" borderId="26" xfId="0" applyFont="1" applyFill="1" applyBorder="1" applyAlignment="1">
      <alignment horizontal="left" vertical="top" wrapText="1"/>
    </xf>
    <xf numFmtId="0" fontId="22" fillId="18" borderId="17" xfId="0" applyFont="1" applyFill="1" applyBorder="1" applyAlignment="1">
      <alignment horizontal="left" vertical="top" wrapText="1"/>
    </xf>
  </cellXfs>
  <cellStyles count="4">
    <cellStyle name="Bad" xfId="3" builtinId="27"/>
    <cellStyle name="Good" xfId="2" builtinId="26"/>
    <cellStyle name="Normal" xfId="0" builtinId="0"/>
    <cellStyle name="Normal_Sheet1_1" xfId="1" xr:uid="{DF5B1D95-689D-4A40-B817-8B274F49C1EB}"/>
  </cellStyles>
  <dxfs count="1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Recomendation Status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'Management Dashboard '!$C$11</c:f>
              <c:strCache>
                <c:ptCount val="1"/>
                <c:pt idx="0">
                  <c:v>2023 (100,200)</c:v>
                </c:pt>
              </c:strCache>
            </c:strRef>
          </c:tx>
          <c:spPr>
            <a:solidFill>
              <a:schemeClr val="accent2"/>
            </a:solidFill>
            <a:ln>
              <a:noFill/>
            </a:ln>
            <a:effectLst/>
          </c:spPr>
          <c:invertIfNegative val="0"/>
          <c:cat>
            <c:strRef>
              <c:f>'Management Dashboard '!$D$9:$H$9</c:f>
              <c:strCache>
                <c:ptCount val="5"/>
                <c:pt idx="0">
                  <c:v>Total</c:v>
                </c:pt>
                <c:pt idx="1">
                  <c:v>Open</c:v>
                </c:pt>
                <c:pt idx="2">
                  <c:v>Closed</c:v>
                </c:pt>
                <c:pt idx="3">
                  <c:v>In-Progress</c:v>
                </c:pt>
                <c:pt idx="4">
                  <c:v>Closure %</c:v>
                </c:pt>
              </c:strCache>
            </c:strRef>
          </c:cat>
          <c:val>
            <c:numRef>
              <c:f>'Management Dashboard '!$D$12:$H$12</c:f>
              <c:numCache>
                <c:formatCode>General</c:formatCode>
                <c:ptCount val="5"/>
                <c:pt idx="0">
                  <c:v>36</c:v>
                </c:pt>
                <c:pt idx="1">
                  <c:v>8</c:v>
                </c:pt>
                <c:pt idx="2">
                  <c:v>28</c:v>
                </c:pt>
                <c:pt idx="3">
                  <c:v>7</c:v>
                </c:pt>
                <c:pt idx="4" formatCode="0.0">
                  <c:v>77.777777777777786</c:v>
                </c:pt>
              </c:numCache>
            </c:numRef>
          </c:val>
          <c:extLst>
            <c:ext xmlns:c16="http://schemas.microsoft.com/office/drawing/2014/chart" uri="{C3380CC4-5D6E-409C-BE32-E72D297353CC}">
              <c16:uniqueId val="{00000001-CFA4-4D23-8734-EB1E31944174}"/>
            </c:ext>
          </c:extLst>
        </c:ser>
        <c:ser>
          <c:idx val="3"/>
          <c:order val="1"/>
          <c:tx>
            <c:strRef>
              <c:f>'Management Dashboard '!$C$13</c:f>
              <c:strCache>
                <c:ptCount val="1"/>
                <c:pt idx="0">
                  <c:v>2024 (500,800,900)</c:v>
                </c:pt>
              </c:strCache>
            </c:strRef>
          </c:tx>
          <c:spPr>
            <a:solidFill>
              <a:schemeClr val="accent4"/>
            </a:solidFill>
            <a:ln>
              <a:noFill/>
            </a:ln>
            <a:effectLst/>
          </c:spPr>
          <c:invertIfNegative val="0"/>
          <c:cat>
            <c:strRef>
              <c:f>'Management Dashboard '!$D$9:$H$9</c:f>
              <c:strCache>
                <c:ptCount val="5"/>
                <c:pt idx="0">
                  <c:v>Total</c:v>
                </c:pt>
                <c:pt idx="1">
                  <c:v>Open</c:v>
                </c:pt>
                <c:pt idx="2">
                  <c:v>Closed</c:v>
                </c:pt>
                <c:pt idx="3">
                  <c:v>In-Progress</c:v>
                </c:pt>
                <c:pt idx="4">
                  <c:v>Closure %</c:v>
                </c:pt>
              </c:strCache>
            </c:strRef>
          </c:cat>
          <c:val>
            <c:numRef>
              <c:f>'Management Dashboard '!$D$14:$H$14</c:f>
              <c:numCache>
                <c:formatCode>General</c:formatCode>
                <c:ptCount val="5"/>
                <c:pt idx="0">
                  <c:v>61</c:v>
                </c:pt>
                <c:pt idx="1">
                  <c:v>35</c:v>
                </c:pt>
                <c:pt idx="2">
                  <c:v>26</c:v>
                </c:pt>
                <c:pt idx="3">
                  <c:v>11</c:v>
                </c:pt>
                <c:pt idx="4" formatCode="0.0">
                  <c:v>42.622950819672127</c:v>
                </c:pt>
              </c:numCache>
            </c:numRef>
          </c:val>
          <c:extLst>
            <c:ext xmlns:c16="http://schemas.microsoft.com/office/drawing/2014/chart" uri="{C3380CC4-5D6E-409C-BE32-E72D297353CC}">
              <c16:uniqueId val="{00000003-CFA4-4D23-8734-EB1E31944174}"/>
            </c:ext>
          </c:extLst>
        </c:ser>
        <c:ser>
          <c:idx val="0"/>
          <c:order val="2"/>
          <c:tx>
            <c:strRef>
              <c:f>'Management Dashboard '!$C$9</c:f>
              <c:strCache>
                <c:ptCount val="1"/>
                <c:pt idx="0">
                  <c:v>2021 (300,400,600)</c:v>
                </c:pt>
              </c:strCache>
            </c:strRef>
          </c:tx>
          <c:spPr>
            <a:solidFill>
              <a:schemeClr val="accent1"/>
            </a:solidFill>
            <a:ln>
              <a:noFill/>
            </a:ln>
            <a:effectLst/>
          </c:spPr>
          <c:invertIfNegative val="0"/>
          <c:val>
            <c:numRef>
              <c:f>'Management Dashboard '!$D$10:$H$10</c:f>
              <c:numCache>
                <c:formatCode>General</c:formatCode>
                <c:ptCount val="5"/>
                <c:pt idx="0">
                  <c:v>38</c:v>
                </c:pt>
                <c:pt idx="1">
                  <c:v>6</c:v>
                </c:pt>
                <c:pt idx="2">
                  <c:v>32</c:v>
                </c:pt>
                <c:pt idx="3">
                  <c:v>3</c:v>
                </c:pt>
                <c:pt idx="4" formatCode="0.0">
                  <c:v>84.210526315789465</c:v>
                </c:pt>
              </c:numCache>
            </c:numRef>
          </c:val>
          <c:extLst>
            <c:ext xmlns:c16="http://schemas.microsoft.com/office/drawing/2014/chart" uri="{C3380CC4-5D6E-409C-BE32-E72D297353CC}">
              <c16:uniqueId val="{00000005-CFA4-4D23-8734-EB1E31944174}"/>
            </c:ext>
          </c:extLst>
        </c:ser>
        <c:ser>
          <c:idx val="2"/>
          <c:order val="3"/>
          <c:tx>
            <c:strRef>
              <c:f>'Management Dashboard '!$C$7</c:f>
              <c:strCache>
                <c:ptCount val="1"/>
                <c:pt idx="0">
                  <c:v>2021 (PSM Audit)</c:v>
                </c:pt>
              </c:strCache>
            </c:strRef>
          </c:tx>
          <c:spPr>
            <a:solidFill>
              <a:schemeClr val="accent3"/>
            </a:solidFill>
            <a:ln>
              <a:noFill/>
            </a:ln>
            <a:effectLst/>
          </c:spPr>
          <c:invertIfNegative val="0"/>
          <c:val>
            <c:numRef>
              <c:f>'Management Dashboard '!$D$8:$H$8</c:f>
              <c:numCache>
                <c:formatCode>General</c:formatCode>
                <c:ptCount val="5"/>
                <c:pt idx="0">
                  <c:v>25</c:v>
                </c:pt>
                <c:pt idx="1">
                  <c:v>3</c:v>
                </c:pt>
                <c:pt idx="2">
                  <c:v>22</c:v>
                </c:pt>
                <c:pt idx="3">
                  <c:v>3</c:v>
                </c:pt>
                <c:pt idx="4">
                  <c:v>88</c:v>
                </c:pt>
              </c:numCache>
            </c:numRef>
          </c:val>
          <c:extLst>
            <c:ext xmlns:c16="http://schemas.microsoft.com/office/drawing/2014/chart" uri="{C3380CC4-5D6E-409C-BE32-E72D297353CC}">
              <c16:uniqueId val="{00000006-CFA4-4D23-8734-EB1E31944174}"/>
            </c:ext>
          </c:extLst>
        </c:ser>
        <c:dLbls>
          <c:showLegendKey val="0"/>
          <c:showVal val="0"/>
          <c:showCatName val="0"/>
          <c:showSerName val="0"/>
          <c:showPercent val="0"/>
          <c:showBubbleSize val="0"/>
        </c:dLbls>
        <c:gapWidth val="219"/>
        <c:overlap val="-27"/>
        <c:axId val="1124240688"/>
        <c:axId val="849816320"/>
      </c:barChart>
      <c:catAx>
        <c:axId val="112424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816320"/>
        <c:crosses val="autoZero"/>
        <c:auto val="1"/>
        <c:lblAlgn val="ctr"/>
        <c:lblOffset val="100"/>
        <c:noMultiLvlLbl val="0"/>
      </c:catAx>
      <c:valAx>
        <c:axId val="84981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4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Priority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B7-49CB-A66F-25CB1DF50A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F4B7-49CB-A66F-25CB1DF50A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F4B7-49CB-A66F-25CB1DF50A2B}"/>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B7-49CB-A66F-25CB1DF50A2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B7-49CB-A66F-25CB1DF50A2B}"/>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B7-49CB-A66F-25CB1DF50A2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'Management Dashboard '!$B$24:$B$26</c:f>
              <c:strCache>
                <c:ptCount val="3"/>
                <c:pt idx="0">
                  <c:v>High </c:v>
                </c:pt>
                <c:pt idx="1">
                  <c:v>Medium</c:v>
                </c:pt>
                <c:pt idx="2">
                  <c:v>Low</c:v>
                </c:pt>
              </c:strCache>
            </c:strRef>
          </c:cat>
          <c:val>
            <c:numRef>
              <c:f>'Management Dashboard '!$C$24:$C$26</c:f>
              <c:numCache>
                <c:formatCode>General</c:formatCode>
                <c:ptCount val="3"/>
                <c:pt idx="0">
                  <c:v>12</c:v>
                </c:pt>
                <c:pt idx="1">
                  <c:v>8</c:v>
                </c:pt>
                <c:pt idx="2">
                  <c:v>29</c:v>
                </c:pt>
              </c:numCache>
            </c:numRef>
          </c:val>
          <c:extLst>
            <c:ext xmlns:c16="http://schemas.microsoft.com/office/drawing/2014/chart" uri="{C3380CC4-5D6E-409C-BE32-E72D297353CC}">
              <c16:uniqueId val="{00000000-F4B7-49CB-A66F-25CB1DF50A2B}"/>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2021 PHA - 300,400,600 Action Item Closure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'Management Dashboard '!$T$5</c:f>
              <c:strCache>
                <c:ptCount val="1"/>
                <c:pt idx="0">
                  <c:v>2021</c:v>
                </c:pt>
              </c:strCache>
            </c:strRef>
          </c:tx>
          <c:spPr>
            <a:solidFill>
              <a:schemeClr val="accent1"/>
            </a:solidFill>
            <a:ln w="19050">
              <a:solidFill>
                <a:schemeClr val="lt1"/>
              </a:solidFill>
            </a:ln>
            <a:effectLst/>
          </c:spPr>
          <c:invertIfNegative val="0"/>
          <c:dPt>
            <c:idx val="0"/>
            <c:invertIfNegative val="0"/>
            <c:bubble3D val="0"/>
            <c:spPr>
              <a:solidFill>
                <a:schemeClr val="accent4"/>
              </a:solidFill>
              <a:ln w="19050">
                <a:solidFill>
                  <a:schemeClr val="accent4"/>
                </a:solidFill>
              </a:ln>
              <a:effectLst/>
            </c:spPr>
            <c:extLst>
              <c:ext xmlns:c16="http://schemas.microsoft.com/office/drawing/2014/chart" uri="{C3380CC4-5D6E-409C-BE32-E72D297353CC}">
                <c16:uniqueId val="{00000006-2DA1-49FD-8BE9-B40C40FC05D0}"/>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5-2DA1-49FD-8BE9-B40C40FC05D0}"/>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3-2DA1-49FD-8BE9-B40C40FC05D0}"/>
              </c:ext>
            </c:extLst>
          </c:dPt>
          <c:dPt>
            <c:idx val="3"/>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4-2DA1-49FD-8BE9-B40C40FC05D0}"/>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2-2DA1-49FD-8BE9-B40C40FC05D0}"/>
              </c:ext>
            </c:extLst>
          </c:dPt>
          <c:cat>
            <c:strRef>
              <c:f>'Management Dashboard '!$U$5:$U$9</c:f>
              <c:strCache>
                <c:ptCount val="5"/>
                <c:pt idx="0">
                  <c:v>Engineering</c:v>
                </c:pt>
                <c:pt idx="1">
                  <c:v>Instrumentation &amp; Controls</c:v>
                </c:pt>
                <c:pt idx="2">
                  <c:v>Mechanical Integrity/ Reliability</c:v>
                </c:pt>
                <c:pt idx="3">
                  <c:v>Operations</c:v>
                </c:pt>
                <c:pt idx="4">
                  <c:v>Health &amp; Safety</c:v>
                </c:pt>
              </c:strCache>
            </c:strRef>
          </c:cat>
          <c:val>
            <c:numRef>
              <c:f>'Management Dashboard '!$Z$5:$Z$9</c:f>
              <c:numCache>
                <c:formatCode>0.0</c:formatCode>
                <c:ptCount val="5"/>
                <c:pt idx="0">
                  <c:v>88.888888888888886</c:v>
                </c:pt>
                <c:pt idx="1">
                  <c:v>73.68421052631578</c:v>
                </c:pt>
                <c:pt idx="2">
                  <c:v>100</c:v>
                </c:pt>
                <c:pt idx="3">
                  <c:v>100</c:v>
                </c:pt>
                <c:pt idx="4" formatCode="General">
                  <c:v>100</c:v>
                </c:pt>
              </c:numCache>
            </c:numRef>
          </c:val>
          <c:extLst>
            <c:ext xmlns:c16="http://schemas.microsoft.com/office/drawing/2014/chart" uri="{C3380CC4-5D6E-409C-BE32-E72D297353CC}">
              <c16:uniqueId val="{00000001-2DA1-49FD-8BE9-B40C40FC05D0}"/>
            </c:ext>
          </c:extLst>
        </c:ser>
        <c:dLbls>
          <c:showLegendKey val="0"/>
          <c:showVal val="0"/>
          <c:showCatName val="0"/>
          <c:showSerName val="0"/>
          <c:showPercent val="0"/>
          <c:showBubbleSize val="0"/>
        </c:dLbls>
        <c:gapWidth val="150"/>
        <c:axId val="1159285200"/>
        <c:axId val="1159283400"/>
      </c:barChart>
      <c:valAx>
        <c:axId val="11592834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85200"/>
        <c:crosses val="autoZero"/>
        <c:crossBetween val="between"/>
      </c:valAx>
      <c:catAx>
        <c:axId val="1159285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834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2023 PHA - 100,200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'Management Dashboard '!$T$10</c:f>
              <c:strCache>
                <c:ptCount val="1"/>
                <c:pt idx="0">
                  <c:v>2023</c:v>
                </c:pt>
              </c:strCache>
            </c:strRef>
          </c:tx>
          <c:spPr>
            <a:solidFill>
              <a:schemeClr val="accent1"/>
            </a:solidFill>
            <a:ln>
              <a:noFill/>
            </a:ln>
            <a:effectLst/>
          </c:spPr>
          <c:invertIfNegative val="0"/>
          <c:dPt>
            <c:idx val="1"/>
            <c:invertIfNegative val="0"/>
            <c:bubble3D val="0"/>
            <c:spPr>
              <a:solidFill>
                <a:srgbClr val="7030A0"/>
              </a:solidFill>
              <a:ln>
                <a:noFill/>
              </a:ln>
              <a:effectLst/>
            </c:spPr>
            <c:extLst>
              <c:ext xmlns:c16="http://schemas.microsoft.com/office/drawing/2014/chart" uri="{C3380CC4-5D6E-409C-BE32-E72D297353CC}">
                <c16:uniqueId val="{00000003-F332-4698-8146-221695D27BB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1-F332-4698-8146-221695D27BB0}"/>
              </c:ext>
            </c:extLst>
          </c:dPt>
          <c:dPt>
            <c:idx val="4"/>
            <c:invertIfNegative val="0"/>
            <c:bubble3D val="0"/>
            <c:spPr>
              <a:solidFill>
                <a:schemeClr val="tx2"/>
              </a:solidFill>
              <a:ln>
                <a:noFill/>
              </a:ln>
              <a:effectLst/>
            </c:spPr>
            <c:extLst>
              <c:ext xmlns:c16="http://schemas.microsoft.com/office/drawing/2014/chart" uri="{C3380CC4-5D6E-409C-BE32-E72D297353CC}">
                <c16:uniqueId val="{00000005-F751-4DD6-8349-AE41C9AA392B}"/>
              </c:ext>
            </c:extLst>
          </c:dPt>
          <c:dLbls>
            <c:delete val="1"/>
          </c:dLbls>
          <c:cat>
            <c:strRef>
              <c:f>'Management Dashboard '!$U$11:$U$15</c:f>
              <c:strCache>
                <c:ptCount val="5"/>
                <c:pt idx="0">
                  <c:v>Contractor Management</c:v>
                </c:pt>
                <c:pt idx="1">
                  <c:v>Engineering</c:v>
                </c:pt>
                <c:pt idx="2">
                  <c:v>Health and Safety </c:v>
                </c:pt>
                <c:pt idx="3">
                  <c:v>Instrumentation &amp; Controls</c:v>
                </c:pt>
                <c:pt idx="4">
                  <c:v>Operations</c:v>
                </c:pt>
              </c:strCache>
            </c:strRef>
          </c:cat>
          <c:val>
            <c:numRef>
              <c:f>'Management Dashboard '!$Z$11:$Z$15</c:f>
              <c:numCache>
                <c:formatCode>0.0</c:formatCode>
                <c:ptCount val="5"/>
                <c:pt idx="0" formatCode="General">
                  <c:v>100</c:v>
                </c:pt>
                <c:pt idx="1">
                  <c:v>26.666666666666668</c:v>
                </c:pt>
                <c:pt idx="2" formatCode="General">
                  <c:v>100</c:v>
                </c:pt>
                <c:pt idx="3">
                  <c:v>45.454545454545453</c:v>
                </c:pt>
                <c:pt idx="4">
                  <c:v>16.666666666666664</c:v>
                </c:pt>
              </c:numCache>
            </c:numRef>
          </c:val>
          <c:extLst>
            <c:ext xmlns:c16="http://schemas.microsoft.com/office/drawing/2014/chart" uri="{C3380CC4-5D6E-409C-BE32-E72D297353CC}">
              <c16:uniqueId val="{00000000-F332-4698-8146-221695D27BB0}"/>
            </c:ext>
          </c:extLst>
        </c:ser>
        <c:dLbls>
          <c:dLblPos val="inEnd"/>
          <c:showLegendKey val="0"/>
          <c:showVal val="1"/>
          <c:showCatName val="0"/>
          <c:showSerName val="0"/>
          <c:showPercent val="0"/>
          <c:showBubbleSize val="0"/>
        </c:dLbls>
        <c:gapWidth val="182"/>
        <c:axId val="1134781624"/>
        <c:axId val="1134781984"/>
      </c:barChart>
      <c:valAx>
        <c:axId val="1134781984"/>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81624"/>
        <c:crosses val="autoZero"/>
        <c:crossBetween val="between"/>
      </c:valAx>
      <c:catAx>
        <c:axId val="1134781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81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438150</xdr:colOff>
      <xdr:row>2</xdr:row>
      <xdr:rowOff>33337</xdr:rowOff>
    </xdr:from>
    <xdr:to>
      <xdr:col>17</xdr:col>
      <xdr:colOff>133350</xdr:colOff>
      <xdr:row>15</xdr:row>
      <xdr:rowOff>109537</xdr:rowOff>
    </xdr:to>
    <xdr:graphicFrame macro="">
      <xdr:nvGraphicFramePr>
        <xdr:cNvPr id="4" name="Chart 3">
          <a:extLst>
            <a:ext uri="{FF2B5EF4-FFF2-40B4-BE49-F238E27FC236}">
              <a16:creationId xmlns:a16="http://schemas.microsoft.com/office/drawing/2014/main" id="{158E8810-4DBD-7A44-7B1C-CAAB08802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16</xdr:row>
      <xdr:rowOff>138112</xdr:rowOff>
    </xdr:from>
    <xdr:to>
      <xdr:col>17</xdr:col>
      <xdr:colOff>152400</xdr:colOff>
      <xdr:row>31</xdr:row>
      <xdr:rowOff>23812</xdr:rowOff>
    </xdr:to>
    <xdr:graphicFrame macro="">
      <xdr:nvGraphicFramePr>
        <xdr:cNvPr id="5" name="Chart 4">
          <a:extLst>
            <a:ext uri="{FF2B5EF4-FFF2-40B4-BE49-F238E27FC236}">
              <a16:creationId xmlns:a16="http://schemas.microsoft.com/office/drawing/2014/main" id="{7ED6F6A6-99EB-A54C-91B9-B620CE511C88}"/>
            </a:ext>
            <a:ext uri="{147F2762-F138-4A5C-976F-8EAC2B608ADB}">
              <a16:predDERef xmlns:a16="http://schemas.microsoft.com/office/drawing/2014/main" pred="{158E8810-4DBD-7A44-7B1C-CAAB08802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447675</xdr:colOff>
      <xdr:row>32</xdr:row>
      <xdr:rowOff>119062</xdr:rowOff>
    </xdr:from>
    <xdr:to>
      <xdr:col>17</xdr:col>
      <xdr:colOff>142875</xdr:colOff>
      <xdr:row>47</xdr:row>
      <xdr:rowOff>4762</xdr:rowOff>
    </xdr:to>
    <xdr:graphicFrame macro="">
      <xdr:nvGraphicFramePr>
        <xdr:cNvPr id="6" name="Chart 5">
          <a:extLst>
            <a:ext uri="{FF2B5EF4-FFF2-40B4-BE49-F238E27FC236}">
              <a16:creationId xmlns:a16="http://schemas.microsoft.com/office/drawing/2014/main" id="{43B4497F-C77F-7A46-8288-2C5B68FA6AA7}"/>
            </a:ext>
            <a:ext uri="{147F2762-F138-4A5C-976F-8EAC2B608ADB}">
              <a16:predDERef xmlns:a16="http://schemas.microsoft.com/office/drawing/2014/main" pred="{7ED6F6A6-99EB-A54C-91B9-B620CE511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450638</xdr:colOff>
      <xdr:row>48</xdr:row>
      <xdr:rowOff>152400</xdr:rowOff>
    </xdr:from>
    <xdr:to>
      <xdr:col>17</xdr:col>
      <xdr:colOff>145838</xdr:colOff>
      <xdr:row>62</xdr:row>
      <xdr:rowOff>167429</xdr:rowOff>
    </xdr:to>
    <xdr:graphicFrame macro="">
      <xdr:nvGraphicFramePr>
        <xdr:cNvPr id="7" name="Chart 6">
          <a:extLst>
            <a:ext uri="{FF2B5EF4-FFF2-40B4-BE49-F238E27FC236}">
              <a16:creationId xmlns:a16="http://schemas.microsoft.com/office/drawing/2014/main" id="{E6ACE489-38E9-CBB6-3123-E3A5E5D09B52}"/>
            </a:ext>
            <a:ext uri="{147F2762-F138-4A5C-976F-8EAC2B608ADB}">
              <a16:predDERef xmlns:a16="http://schemas.microsoft.com/office/drawing/2014/main" pred="{43B4497F-C77F-7A46-8288-2C5B68FA6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92BF3-C0A7-45E1-B59C-87B2A68328AD}">
  <sheetPr>
    <tabColor theme="1"/>
  </sheetPr>
  <dimension ref="B1:Z45"/>
  <sheetViews>
    <sheetView zoomScaleNormal="100" workbookViewId="0">
      <selection activeCell="H21" sqref="H21"/>
    </sheetView>
  </sheetViews>
  <sheetFormatPr defaultRowHeight="15" x14ac:dyDescent="0.25"/>
  <cols>
    <col min="1" max="2" width="9.140625" style="10"/>
    <col min="3" max="3" width="17.28515625" style="10" bestFit="1" customWidth="1"/>
    <col min="4" max="6" width="9.140625" style="10"/>
    <col min="7" max="7" width="11" style="10" bestFit="1" customWidth="1"/>
    <col min="8" max="8" width="9.7109375" style="10" bestFit="1" customWidth="1"/>
    <col min="9" max="20" width="9.140625" style="10"/>
    <col min="21" max="21" width="25.85546875" style="10" bestFit="1" customWidth="1"/>
    <col min="22" max="22" width="9.140625" style="10"/>
    <col min="23" max="23" width="25.7109375" style="10" bestFit="1" customWidth="1"/>
    <col min="24" max="24" width="9.140625" style="10"/>
    <col min="25" max="25" width="11" style="10" bestFit="1" customWidth="1"/>
    <col min="26" max="26" width="9.140625" style="10"/>
    <col min="27" max="27" width="11" style="10" bestFit="1" customWidth="1"/>
    <col min="28" max="16384" width="9.140625" style="10"/>
  </cols>
  <sheetData>
    <row r="1" spans="2:26" ht="26.25" x14ac:dyDescent="0.4">
      <c r="L1" s="11" t="s">
        <v>0</v>
      </c>
    </row>
    <row r="2" spans="2:26" ht="15.75" thickBot="1" x14ac:dyDescent="0.3">
      <c r="V2" s="47" t="s">
        <v>1</v>
      </c>
      <c r="W2" s="48"/>
    </row>
    <row r="4" spans="2:26" x14ac:dyDescent="0.25">
      <c r="B4" s="12" t="s">
        <v>2</v>
      </c>
      <c r="C4" s="12"/>
      <c r="D4" s="12"/>
      <c r="E4" s="12" t="s">
        <v>3</v>
      </c>
      <c r="F4" s="12" t="s">
        <v>4</v>
      </c>
      <c r="G4" s="12" t="s">
        <v>5</v>
      </c>
      <c r="H4" s="12" t="s">
        <v>6</v>
      </c>
      <c r="T4" s="12" t="s">
        <v>7</v>
      </c>
      <c r="U4" s="12" t="s">
        <v>8</v>
      </c>
      <c r="V4" s="18" t="s">
        <v>9</v>
      </c>
      <c r="W4" s="18" t="s">
        <v>3</v>
      </c>
      <c r="X4" s="18" t="s">
        <v>4</v>
      </c>
      <c r="Y4" s="18" t="s">
        <v>5</v>
      </c>
      <c r="Z4" s="18" t="s">
        <v>10</v>
      </c>
    </row>
    <row r="5" spans="2:26" x14ac:dyDescent="0.25">
      <c r="B5" s="13"/>
      <c r="C5" s="15">
        <f>SUM(D8,D10,D12,D14)</f>
        <v>160</v>
      </c>
      <c r="D5" s="14"/>
      <c r="E5" s="15">
        <f>C5-F5</f>
        <v>52</v>
      </c>
      <c r="F5" s="15">
        <f>SUM(F8,F10,F12,F14)</f>
        <v>108</v>
      </c>
      <c r="G5" s="15">
        <f>SUM(G8,G10,G12,G14)</f>
        <v>24</v>
      </c>
      <c r="H5" s="16">
        <f>F5/C5*100</f>
        <v>67.5</v>
      </c>
      <c r="T5" s="19">
        <v>2021</v>
      </c>
      <c r="U5" s="14" t="s">
        <v>11</v>
      </c>
      <c r="V5" s="15">
        <v>9</v>
      </c>
      <c r="W5" s="15">
        <f>V5-X5</f>
        <v>1</v>
      </c>
      <c r="X5" s="15">
        <v>8</v>
      </c>
      <c r="Y5" s="15">
        <v>1</v>
      </c>
      <c r="Z5" s="30">
        <f>X5/V5*100</f>
        <v>88.888888888888886</v>
      </c>
    </row>
    <row r="6" spans="2:26" x14ac:dyDescent="0.25">
      <c r="T6" s="12"/>
      <c r="U6" s="14" t="s">
        <v>12</v>
      </c>
      <c r="V6" s="15">
        <v>19</v>
      </c>
      <c r="W6" s="15">
        <f t="shared" ref="W6:W9" si="0">V6-X6</f>
        <v>5</v>
      </c>
      <c r="X6" s="15">
        <v>14</v>
      </c>
      <c r="Y6" s="15">
        <v>2</v>
      </c>
      <c r="Z6" s="30">
        <f>X6/V6*100</f>
        <v>73.68421052631578</v>
      </c>
    </row>
    <row r="7" spans="2:26" x14ac:dyDescent="0.25">
      <c r="C7" s="12" t="s">
        <v>13</v>
      </c>
      <c r="D7" s="18" t="s">
        <v>9</v>
      </c>
      <c r="E7" s="12" t="s">
        <v>3</v>
      </c>
      <c r="F7" s="12" t="s">
        <v>4</v>
      </c>
      <c r="G7" s="12" t="s">
        <v>5</v>
      </c>
      <c r="H7" s="12" t="s">
        <v>6</v>
      </c>
      <c r="T7" s="12"/>
      <c r="U7" s="14" t="s">
        <v>14</v>
      </c>
      <c r="V7" s="15">
        <v>5</v>
      </c>
      <c r="W7" s="15">
        <f t="shared" si="0"/>
        <v>0</v>
      </c>
      <c r="X7" s="15">
        <v>5</v>
      </c>
      <c r="Y7" s="15">
        <v>0</v>
      </c>
      <c r="Z7" s="30">
        <f>X7/V7*100</f>
        <v>100</v>
      </c>
    </row>
    <row r="8" spans="2:26" x14ac:dyDescent="0.25">
      <c r="C8" s="13"/>
      <c r="D8" s="15">
        <v>25</v>
      </c>
      <c r="E8" s="15">
        <f>D8-F8</f>
        <v>3</v>
      </c>
      <c r="F8" s="15">
        <f>'2021 PSM Audit'!B30</f>
        <v>22</v>
      </c>
      <c r="G8" s="15">
        <f>'2021 PSM Audit'!B31</f>
        <v>3</v>
      </c>
      <c r="H8" s="46">
        <f>F8/D8*100</f>
        <v>88</v>
      </c>
      <c r="T8" s="12"/>
      <c r="U8" s="14" t="s">
        <v>15</v>
      </c>
      <c r="V8" s="15">
        <v>3</v>
      </c>
      <c r="W8" s="15">
        <f t="shared" si="0"/>
        <v>0</v>
      </c>
      <c r="X8" s="15">
        <v>3</v>
      </c>
      <c r="Y8" s="15">
        <v>0</v>
      </c>
      <c r="Z8" s="30">
        <f>X8/V8*100</f>
        <v>100</v>
      </c>
    </row>
    <row r="9" spans="2:26" x14ac:dyDescent="0.25">
      <c r="C9" s="19" t="s">
        <v>16</v>
      </c>
      <c r="D9" s="18" t="s">
        <v>9</v>
      </c>
      <c r="E9" s="12" t="s">
        <v>3</v>
      </c>
      <c r="F9" s="12" t="s">
        <v>4</v>
      </c>
      <c r="G9" s="12" t="s">
        <v>5</v>
      </c>
      <c r="H9" s="12" t="s">
        <v>6</v>
      </c>
      <c r="T9" s="12"/>
      <c r="U9" s="14" t="s">
        <v>17</v>
      </c>
      <c r="V9" s="15">
        <v>2</v>
      </c>
      <c r="W9" s="15">
        <f t="shared" si="0"/>
        <v>0</v>
      </c>
      <c r="X9" s="15">
        <v>2</v>
      </c>
      <c r="Y9" s="15">
        <v>0</v>
      </c>
      <c r="Z9" s="15">
        <f>X9/V9*100</f>
        <v>100</v>
      </c>
    </row>
    <row r="10" spans="2:26" x14ac:dyDescent="0.25">
      <c r="C10" s="13"/>
      <c r="D10" s="15">
        <v>38</v>
      </c>
      <c r="E10" s="15">
        <f>'2021 PHA -300,400,600'!B42</f>
        <v>6</v>
      </c>
      <c r="F10" s="15">
        <f>'2021 PHA -300,400,600'!B43</f>
        <v>32</v>
      </c>
      <c r="G10" s="15">
        <f>'2021 PHA -300,400,600'!B44</f>
        <v>3</v>
      </c>
      <c r="H10" s="28">
        <f>F10/D10*100</f>
        <v>84.210526315789465</v>
      </c>
      <c r="T10" s="19">
        <v>2023</v>
      </c>
      <c r="U10" s="12" t="s">
        <v>8</v>
      </c>
      <c r="V10" s="18" t="s">
        <v>9</v>
      </c>
      <c r="W10" s="18" t="s">
        <v>3</v>
      </c>
      <c r="X10" s="18" t="s">
        <v>4</v>
      </c>
      <c r="Y10" s="18" t="s">
        <v>5</v>
      </c>
      <c r="Z10" s="18" t="s">
        <v>10</v>
      </c>
    </row>
    <row r="11" spans="2:26" x14ac:dyDescent="0.25">
      <c r="C11" s="19" t="s">
        <v>18</v>
      </c>
      <c r="D11" s="18" t="s">
        <v>9</v>
      </c>
      <c r="E11" s="12" t="s">
        <v>3</v>
      </c>
      <c r="F11" s="12" t="s">
        <v>4</v>
      </c>
      <c r="G11" s="12" t="s">
        <v>5</v>
      </c>
      <c r="H11" s="12" t="s">
        <v>6</v>
      </c>
      <c r="T11" s="19"/>
      <c r="U11" s="14" t="s">
        <v>19</v>
      </c>
      <c r="V11" s="15">
        <v>1</v>
      </c>
      <c r="W11" s="15">
        <f>V11-X11</f>
        <v>0</v>
      </c>
      <c r="X11" s="15">
        <v>1</v>
      </c>
      <c r="Y11" s="15">
        <v>0</v>
      </c>
      <c r="Z11" s="15">
        <f>X11/V11*100</f>
        <v>100</v>
      </c>
    </row>
    <row r="12" spans="2:26" x14ac:dyDescent="0.25">
      <c r="C12" s="20"/>
      <c r="D12" s="15">
        <v>36</v>
      </c>
      <c r="E12" s="15">
        <f>'2023 PHA - 100,200'!B41</f>
        <v>8</v>
      </c>
      <c r="F12" s="15">
        <f>'2023 PHA - 100,200'!B42</f>
        <v>28</v>
      </c>
      <c r="G12" s="15">
        <f>'2023 PHA - 100,200'!B43</f>
        <v>7</v>
      </c>
      <c r="H12" s="16">
        <f>F12/D12*100</f>
        <v>77.777777777777786</v>
      </c>
      <c r="T12" s="12"/>
      <c r="U12" s="14" t="s">
        <v>11</v>
      </c>
      <c r="V12" s="15">
        <v>15</v>
      </c>
      <c r="W12" s="15">
        <f t="shared" ref="W12:W15" si="1">V12-X12</f>
        <v>11</v>
      </c>
      <c r="X12" s="15">
        <v>4</v>
      </c>
      <c r="Y12" s="15">
        <v>1</v>
      </c>
      <c r="Z12" s="30">
        <f>X12/V12*100</f>
        <v>26.666666666666668</v>
      </c>
    </row>
    <row r="13" spans="2:26" x14ac:dyDescent="0.25">
      <c r="C13" s="19" t="s">
        <v>20</v>
      </c>
      <c r="D13" s="18" t="s">
        <v>9</v>
      </c>
      <c r="E13" s="12" t="s">
        <v>3</v>
      </c>
      <c r="F13" s="12" t="s">
        <v>4</v>
      </c>
      <c r="G13" s="12" t="s">
        <v>5</v>
      </c>
      <c r="H13" s="12" t="s">
        <v>6</v>
      </c>
      <c r="T13" s="12"/>
      <c r="U13" s="14" t="s">
        <v>21</v>
      </c>
      <c r="V13" s="15">
        <v>1</v>
      </c>
      <c r="W13" s="15">
        <f t="shared" si="1"/>
        <v>0</v>
      </c>
      <c r="X13" s="15">
        <v>1</v>
      </c>
      <c r="Y13" s="15">
        <v>0</v>
      </c>
      <c r="Z13" s="15">
        <f t="shared" ref="Z13:Z14" si="2">X13/V13*100</f>
        <v>100</v>
      </c>
    </row>
    <row r="14" spans="2:26" x14ac:dyDescent="0.25">
      <c r="C14" s="13"/>
      <c r="D14" s="15">
        <v>61</v>
      </c>
      <c r="E14" s="15">
        <f>'2024 PHA - 500,800,900'!B66</f>
        <v>35</v>
      </c>
      <c r="F14" s="15">
        <f>'2024 PHA - 500,800,900'!B67</f>
        <v>26</v>
      </c>
      <c r="G14" s="15">
        <f>'2024 PHA - 500,800,900'!B68</f>
        <v>11</v>
      </c>
      <c r="H14" s="16">
        <f>F14/D14*100</f>
        <v>42.622950819672127</v>
      </c>
      <c r="T14" s="12"/>
      <c r="U14" s="14" t="s">
        <v>12</v>
      </c>
      <c r="V14" s="15">
        <v>11</v>
      </c>
      <c r="W14" s="15">
        <f t="shared" si="1"/>
        <v>6</v>
      </c>
      <c r="X14" s="15">
        <v>5</v>
      </c>
      <c r="Y14" s="15">
        <v>2</v>
      </c>
      <c r="Z14" s="30">
        <f t="shared" si="2"/>
        <v>45.454545454545453</v>
      </c>
    </row>
    <row r="15" spans="2:26" x14ac:dyDescent="0.25">
      <c r="C15" s="12" t="s">
        <v>22</v>
      </c>
      <c r="D15" s="12"/>
      <c r="E15" s="12"/>
      <c r="F15" s="12"/>
      <c r="G15" s="12"/>
      <c r="H15" s="12"/>
      <c r="T15" s="12"/>
      <c r="U15" s="14" t="s">
        <v>15</v>
      </c>
      <c r="V15" s="15">
        <v>6</v>
      </c>
      <c r="W15" s="15">
        <f t="shared" si="1"/>
        <v>5</v>
      </c>
      <c r="X15" s="15">
        <v>1</v>
      </c>
      <c r="Y15" s="15">
        <v>1</v>
      </c>
      <c r="Z15" s="30">
        <f>X15/V15*100</f>
        <v>16.666666666666664</v>
      </c>
    </row>
    <row r="16" spans="2:26" x14ac:dyDescent="0.25">
      <c r="C16" s="13"/>
      <c r="D16" s="13"/>
      <c r="E16" s="13"/>
      <c r="F16" s="13"/>
      <c r="G16" s="13"/>
      <c r="H16" s="13"/>
      <c r="T16" s="19">
        <v>2024</v>
      </c>
      <c r="U16" s="12" t="s">
        <v>8</v>
      </c>
      <c r="V16" s="18" t="s">
        <v>9</v>
      </c>
      <c r="W16" s="18" t="s">
        <v>3</v>
      </c>
      <c r="X16" s="18" t="s">
        <v>4</v>
      </c>
      <c r="Y16" s="18" t="s">
        <v>5</v>
      </c>
      <c r="Z16" s="18" t="s">
        <v>10</v>
      </c>
    </row>
    <row r="17" spans="2:26" x14ac:dyDescent="0.25">
      <c r="T17" s="12"/>
      <c r="U17" s="14" t="s">
        <v>11</v>
      </c>
      <c r="V17" s="15">
        <v>48</v>
      </c>
      <c r="W17" s="15">
        <f>V17-X17</f>
        <v>34</v>
      </c>
      <c r="X17" s="15">
        <v>14</v>
      </c>
      <c r="Y17" s="15">
        <v>4</v>
      </c>
      <c r="Z17" s="30">
        <f>X17/V17*100</f>
        <v>29.166666666666668</v>
      </c>
    </row>
    <row r="18" spans="2:26" x14ac:dyDescent="0.25">
      <c r="T18" s="12"/>
      <c r="U18" s="14" t="s">
        <v>12</v>
      </c>
      <c r="V18" s="15">
        <v>4</v>
      </c>
      <c r="W18" s="15">
        <f t="shared" ref="W18:W21" si="3">V18-X18</f>
        <v>2</v>
      </c>
      <c r="X18" s="15">
        <v>2</v>
      </c>
      <c r="Y18" s="15">
        <v>1</v>
      </c>
      <c r="Z18" s="30">
        <f t="shared" ref="Z18:Z21" si="4">X18/V18*100</f>
        <v>50</v>
      </c>
    </row>
    <row r="19" spans="2:26" x14ac:dyDescent="0.25">
      <c r="T19" s="12"/>
      <c r="U19" s="14" t="s">
        <v>23</v>
      </c>
      <c r="V19" s="15">
        <v>1</v>
      </c>
      <c r="W19" s="15">
        <f t="shared" si="3"/>
        <v>0</v>
      </c>
      <c r="X19" s="15">
        <v>1</v>
      </c>
      <c r="Y19" s="15">
        <v>0</v>
      </c>
      <c r="Z19" s="30">
        <f t="shared" si="4"/>
        <v>100</v>
      </c>
    </row>
    <row r="20" spans="2:26" x14ac:dyDescent="0.25">
      <c r="T20" s="12"/>
      <c r="U20" s="14" t="s">
        <v>15</v>
      </c>
      <c r="V20" s="15">
        <v>15</v>
      </c>
      <c r="W20" s="15">
        <f t="shared" si="3"/>
        <v>13</v>
      </c>
      <c r="X20" s="15">
        <v>2</v>
      </c>
      <c r="Y20" s="15">
        <v>0</v>
      </c>
      <c r="Z20" s="30">
        <f t="shared" si="4"/>
        <v>13.333333333333334</v>
      </c>
    </row>
    <row r="21" spans="2:26" x14ac:dyDescent="0.25">
      <c r="T21" s="12"/>
      <c r="U21" s="14" t="s">
        <v>17</v>
      </c>
      <c r="V21" s="15">
        <v>3</v>
      </c>
      <c r="W21" s="15">
        <f t="shared" si="3"/>
        <v>3</v>
      </c>
      <c r="X21" s="15">
        <v>0</v>
      </c>
      <c r="Y21" s="15">
        <v>2</v>
      </c>
      <c r="Z21" s="30">
        <f t="shared" si="4"/>
        <v>0</v>
      </c>
    </row>
    <row r="23" spans="2:26" x14ac:dyDescent="0.25">
      <c r="B23" s="12" t="s">
        <v>24</v>
      </c>
      <c r="C23" s="12"/>
    </row>
    <row r="24" spans="2:26" x14ac:dyDescent="0.25">
      <c r="B24" s="21" t="s">
        <v>25</v>
      </c>
      <c r="C24" s="15">
        <f>'2024 PHA - 500,800,900'!H65+'2023 PHA - 100,200'!H40+'2021 PHA -300,400,600'!H42</f>
        <v>12</v>
      </c>
    </row>
    <row r="25" spans="2:26" x14ac:dyDescent="0.25">
      <c r="B25" s="23" t="s">
        <v>26</v>
      </c>
      <c r="C25" s="15">
        <f>'2024 PHA - 500,800,900'!H66+'2023 PHA - 100,200'!H41+'2021 PHA -300,400,600'!H43</f>
        <v>8</v>
      </c>
    </row>
    <row r="26" spans="2:26" x14ac:dyDescent="0.25">
      <c r="B26" s="22" t="s">
        <v>27</v>
      </c>
      <c r="C26" s="15">
        <f>'2024 PHA - 500,800,900'!H67+'2023 PHA - 100,200'!H42+'2021 PHA -300,400,600'!H44</f>
        <v>29</v>
      </c>
    </row>
    <row r="31" spans="2:26" ht="15.75" thickBot="1" x14ac:dyDescent="0.3">
      <c r="V31" s="47" t="s">
        <v>28</v>
      </c>
      <c r="W31" s="47"/>
    </row>
    <row r="33" spans="20:26" x14ac:dyDescent="0.25">
      <c r="T33" s="19">
        <v>2021</v>
      </c>
      <c r="U33" s="12" t="s">
        <v>29</v>
      </c>
      <c r="V33" s="18" t="s">
        <v>9</v>
      </c>
      <c r="W33" s="18" t="s">
        <v>3</v>
      </c>
      <c r="X33" s="18" t="s">
        <v>4</v>
      </c>
      <c r="Y33" s="18" t="s">
        <v>5</v>
      </c>
      <c r="Z33" s="18" t="s">
        <v>10</v>
      </c>
    </row>
    <row r="34" spans="20:26" x14ac:dyDescent="0.25">
      <c r="T34" s="17"/>
      <c r="U34" s="14" t="s">
        <v>30</v>
      </c>
      <c r="V34" s="15">
        <v>2</v>
      </c>
      <c r="W34" s="15">
        <v>0</v>
      </c>
      <c r="X34" s="15">
        <v>2</v>
      </c>
      <c r="Y34" s="15">
        <v>0</v>
      </c>
      <c r="Z34" s="15">
        <f>X34/V34*100</f>
        <v>100</v>
      </c>
    </row>
    <row r="35" spans="20:26" x14ac:dyDescent="0.25">
      <c r="T35" s="17"/>
      <c r="U35" s="14" t="s">
        <v>31</v>
      </c>
      <c r="V35" s="15">
        <v>2</v>
      </c>
      <c r="W35" s="15">
        <f t="shared" ref="W35:W45" si="5">V35-X35</f>
        <v>0</v>
      </c>
      <c r="X35" s="15">
        <v>2</v>
      </c>
      <c r="Y35" s="15">
        <v>0</v>
      </c>
      <c r="Z35" s="15">
        <f t="shared" ref="Z35:Z45" si="6">X35/V35*100</f>
        <v>100</v>
      </c>
    </row>
    <row r="36" spans="20:26" x14ac:dyDescent="0.25">
      <c r="T36" s="17"/>
      <c r="U36" s="14" t="s">
        <v>32</v>
      </c>
      <c r="V36" s="15">
        <v>2</v>
      </c>
      <c r="W36" s="15">
        <f t="shared" si="5"/>
        <v>1</v>
      </c>
      <c r="X36" s="15">
        <v>1</v>
      </c>
      <c r="Y36" s="15">
        <v>1</v>
      </c>
      <c r="Z36" s="15">
        <f t="shared" si="6"/>
        <v>50</v>
      </c>
    </row>
    <row r="37" spans="20:26" x14ac:dyDescent="0.25">
      <c r="T37" s="17"/>
      <c r="U37" s="14" t="s">
        <v>33</v>
      </c>
      <c r="V37" s="15">
        <v>1</v>
      </c>
      <c r="W37" s="15">
        <f t="shared" si="5"/>
        <v>0</v>
      </c>
      <c r="X37" s="15">
        <v>1</v>
      </c>
      <c r="Y37" s="15">
        <v>0</v>
      </c>
      <c r="Z37" s="15">
        <f t="shared" si="6"/>
        <v>100</v>
      </c>
    </row>
    <row r="38" spans="20:26" x14ac:dyDescent="0.25">
      <c r="T38" s="17"/>
      <c r="U38" s="14" t="s">
        <v>34</v>
      </c>
      <c r="V38" s="15">
        <v>1</v>
      </c>
      <c r="W38" s="15">
        <f t="shared" si="5"/>
        <v>0</v>
      </c>
      <c r="X38" s="15">
        <v>1</v>
      </c>
      <c r="Y38" s="15">
        <v>0</v>
      </c>
      <c r="Z38" s="15">
        <f t="shared" si="6"/>
        <v>100</v>
      </c>
    </row>
    <row r="39" spans="20:26" x14ac:dyDescent="0.25">
      <c r="T39" s="17"/>
      <c r="U39" s="14" t="s">
        <v>35</v>
      </c>
      <c r="V39" s="15">
        <v>4</v>
      </c>
      <c r="W39" s="15">
        <f t="shared" si="5"/>
        <v>0</v>
      </c>
      <c r="X39" s="15">
        <v>4</v>
      </c>
      <c r="Y39" s="15">
        <v>0</v>
      </c>
      <c r="Z39" s="15">
        <f t="shared" si="6"/>
        <v>100</v>
      </c>
    </row>
    <row r="40" spans="20:26" x14ac:dyDescent="0.25">
      <c r="T40" s="17"/>
      <c r="U40" s="14" t="s">
        <v>36</v>
      </c>
      <c r="V40" s="15">
        <v>3</v>
      </c>
      <c r="W40" s="15">
        <f t="shared" si="5"/>
        <v>1</v>
      </c>
      <c r="X40" s="15">
        <v>2</v>
      </c>
      <c r="Y40" s="15">
        <v>0</v>
      </c>
      <c r="Z40" s="30">
        <f t="shared" si="6"/>
        <v>66.666666666666657</v>
      </c>
    </row>
    <row r="41" spans="20:26" x14ac:dyDescent="0.25">
      <c r="T41" s="17"/>
      <c r="U41" s="14" t="s">
        <v>37</v>
      </c>
      <c r="V41" s="15">
        <v>1</v>
      </c>
      <c r="W41" s="15">
        <f t="shared" si="5"/>
        <v>0</v>
      </c>
      <c r="X41" s="15">
        <v>1</v>
      </c>
      <c r="Y41" s="15">
        <v>0</v>
      </c>
      <c r="Z41" s="30">
        <f t="shared" si="6"/>
        <v>100</v>
      </c>
    </row>
    <row r="42" spans="20:26" x14ac:dyDescent="0.25">
      <c r="T42" s="17"/>
      <c r="U42" s="14" t="s">
        <v>38</v>
      </c>
      <c r="V42" s="15">
        <v>2</v>
      </c>
      <c r="W42" s="15">
        <f t="shared" si="5"/>
        <v>0</v>
      </c>
      <c r="X42" s="15">
        <v>2</v>
      </c>
      <c r="Y42" s="15">
        <v>0</v>
      </c>
      <c r="Z42" s="30">
        <f t="shared" si="6"/>
        <v>100</v>
      </c>
    </row>
    <row r="43" spans="20:26" x14ac:dyDescent="0.25">
      <c r="T43" s="17"/>
      <c r="U43" s="14" t="s">
        <v>39</v>
      </c>
      <c r="V43" s="15">
        <v>3</v>
      </c>
      <c r="W43" s="15">
        <f t="shared" si="5"/>
        <v>1</v>
      </c>
      <c r="X43" s="15">
        <v>2</v>
      </c>
      <c r="Y43" s="15">
        <v>3</v>
      </c>
      <c r="Z43" s="30">
        <f t="shared" si="6"/>
        <v>66.666666666666657</v>
      </c>
    </row>
    <row r="44" spans="20:26" x14ac:dyDescent="0.25">
      <c r="T44" s="17"/>
      <c r="U44" s="14" t="s">
        <v>40</v>
      </c>
      <c r="V44" s="15">
        <v>3</v>
      </c>
      <c r="W44" s="15">
        <f t="shared" si="5"/>
        <v>2</v>
      </c>
      <c r="X44" s="15">
        <v>1</v>
      </c>
      <c r="Y44" s="15">
        <v>2</v>
      </c>
      <c r="Z44" s="30">
        <f t="shared" si="6"/>
        <v>33.333333333333329</v>
      </c>
    </row>
    <row r="45" spans="20:26" x14ac:dyDescent="0.25">
      <c r="T45" s="17"/>
      <c r="U45" s="14" t="s">
        <v>41</v>
      </c>
      <c r="V45" s="15">
        <v>1</v>
      </c>
      <c r="W45" s="15">
        <f t="shared" si="5"/>
        <v>0</v>
      </c>
      <c r="X45" s="15">
        <v>1</v>
      </c>
      <c r="Y45" s="15">
        <v>0</v>
      </c>
      <c r="Z45" s="30">
        <f t="shared" si="6"/>
        <v>100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215D1-2484-4F7E-968B-5302E7CC8160}">
  <sheetPr>
    <tabColor rgb="FFFFFF00"/>
  </sheetPr>
  <dimension ref="A1"/>
  <sheetViews>
    <sheetView tabSelected="1" workbookViewId="0">
      <selection activeCell="N15" sqref="N15"/>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E3F92-871C-43AC-B99F-A10EA6B2364D}">
  <sheetPr>
    <tabColor theme="4"/>
  </sheetPr>
  <dimension ref="A1:N39"/>
  <sheetViews>
    <sheetView workbookViewId="0">
      <pane ySplit="1" topLeftCell="A5" activePane="bottomLeft" state="frozen"/>
      <selection pane="bottomLeft" activeCell="C36" sqref="C36"/>
    </sheetView>
  </sheetViews>
  <sheetFormatPr defaultRowHeight="15" x14ac:dyDescent="0.25"/>
  <cols>
    <col min="1" max="1" width="6.140625" style="102" customWidth="1"/>
    <col min="2" max="2" width="19" customWidth="1"/>
    <col min="3" max="3" width="31.5703125" customWidth="1"/>
    <col min="4" max="4" width="39.140625" customWidth="1"/>
    <col min="5" max="5" width="32.28515625" customWidth="1"/>
    <col min="6" max="6" width="27.7109375" customWidth="1"/>
    <col min="7" max="7" width="23.140625" customWidth="1"/>
    <col min="8" max="8" width="17.42578125" style="102" customWidth="1"/>
    <col min="9" max="9" width="13" style="102" customWidth="1"/>
    <col min="10" max="10" width="27" customWidth="1"/>
    <col min="11" max="11" width="15.5703125" customWidth="1"/>
    <col min="12" max="12" width="14.42578125" customWidth="1"/>
    <col min="13" max="13" width="13.140625" customWidth="1"/>
    <col min="14" max="14" width="26.7109375" customWidth="1"/>
  </cols>
  <sheetData>
    <row r="1" spans="1:14" x14ac:dyDescent="0.25">
      <c r="A1" s="95" t="s">
        <v>42</v>
      </c>
      <c r="B1" s="96" t="s">
        <v>43</v>
      </c>
      <c r="C1" s="97" t="s">
        <v>44</v>
      </c>
      <c r="D1" s="96" t="s">
        <v>45</v>
      </c>
      <c r="E1" s="96" t="s">
        <v>46</v>
      </c>
      <c r="F1" s="96" t="s">
        <v>47</v>
      </c>
      <c r="G1" s="96" t="s">
        <v>48</v>
      </c>
      <c r="H1" s="96" t="s">
        <v>49</v>
      </c>
      <c r="I1" s="97" t="s">
        <v>50</v>
      </c>
      <c r="J1" s="96" t="s">
        <v>51</v>
      </c>
      <c r="K1" s="98" t="s">
        <v>52</v>
      </c>
      <c r="L1" s="99" t="s">
        <v>53</v>
      </c>
      <c r="M1" s="97" t="s">
        <v>54</v>
      </c>
      <c r="N1" s="100" t="s">
        <v>55</v>
      </c>
    </row>
    <row r="2" spans="1:14" ht="57" customHeight="1" x14ac:dyDescent="0.25">
      <c r="A2" s="166">
        <v>1</v>
      </c>
      <c r="B2" s="112" t="s">
        <v>56</v>
      </c>
      <c r="C2" s="174" t="s">
        <v>57</v>
      </c>
      <c r="D2" s="113" t="s">
        <v>58</v>
      </c>
      <c r="E2" s="113" t="s">
        <v>59</v>
      </c>
      <c r="F2" s="113" t="s">
        <v>60</v>
      </c>
      <c r="G2" s="113" t="s">
        <v>61</v>
      </c>
      <c r="H2" s="118" t="s">
        <v>27</v>
      </c>
      <c r="I2" s="155"/>
      <c r="J2" s="155"/>
      <c r="K2" s="165"/>
      <c r="L2" s="165"/>
      <c r="M2" s="155"/>
      <c r="N2" s="155"/>
    </row>
    <row r="3" spans="1:14" ht="60" customHeight="1" x14ac:dyDescent="0.25">
      <c r="A3" s="166"/>
      <c r="B3" s="112" t="s">
        <v>62</v>
      </c>
      <c r="C3" s="174"/>
      <c r="D3" s="113" t="s">
        <v>58</v>
      </c>
      <c r="E3" s="113" t="s">
        <v>63</v>
      </c>
      <c r="F3" s="113" t="s">
        <v>60</v>
      </c>
      <c r="G3" s="113" t="s">
        <v>64</v>
      </c>
      <c r="H3" s="118" t="s">
        <v>27</v>
      </c>
      <c r="I3" s="163"/>
      <c r="J3" s="163"/>
      <c r="K3" s="165"/>
      <c r="L3" s="165"/>
      <c r="M3" s="163"/>
      <c r="N3" s="163"/>
    </row>
    <row r="4" spans="1:14" ht="60.75" customHeight="1" x14ac:dyDescent="0.25">
      <c r="A4" s="167"/>
      <c r="B4" s="115" t="s">
        <v>65</v>
      </c>
      <c r="C4" s="175"/>
      <c r="D4" s="116" t="s">
        <v>58</v>
      </c>
      <c r="E4" s="116" t="s">
        <v>66</v>
      </c>
      <c r="F4" s="116" t="s">
        <v>60</v>
      </c>
      <c r="G4" s="116" t="s">
        <v>67</v>
      </c>
      <c r="H4" s="119" t="s">
        <v>27</v>
      </c>
      <c r="I4" s="156"/>
      <c r="J4" s="156"/>
      <c r="K4" s="155"/>
      <c r="L4" s="155"/>
      <c r="M4" s="156"/>
      <c r="N4" s="156"/>
    </row>
    <row r="5" spans="1:14" ht="85.5" customHeight="1" x14ac:dyDescent="0.25">
      <c r="A5" s="164">
        <v>2</v>
      </c>
      <c r="B5" s="160" t="s">
        <v>68</v>
      </c>
      <c r="C5" s="150" t="s">
        <v>69</v>
      </c>
      <c r="D5" s="125" t="s">
        <v>70</v>
      </c>
      <c r="E5" s="125" t="s">
        <v>71</v>
      </c>
      <c r="F5" s="125" t="s">
        <v>72</v>
      </c>
      <c r="G5" s="150" t="s">
        <v>73</v>
      </c>
      <c r="H5" s="126" t="s">
        <v>74</v>
      </c>
      <c r="I5" s="153"/>
      <c r="J5" s="153"/>
      <c r="K5" s="153"/>
      <c r="L5" s="153"/>
      <c r="M5" s="153"/>
      <c r="N5" s="153"/>
    </row>
    <row r="6" spans="1:14" ht="76.5" customHeight="1" x14ac:dyDescent="0.25">
      <c r="A6" s="168"/>
      <c r="B6" s="161"/>
      <c r="C6" s="173"/>
      <c r="D6" s="130" t="s">
        <v>58</v>
      </c>
      <c r="E6" s="130" t="s">
        <v>75</v>
      </c>
      <c r="F6" s="130" t="s">
        <v>76</v>
      </c>
      <c r="G6" s="173"/>
      <c r="H6" s="131" t="s">
        <v>27</v>
      </c>
      <c r="I6" s="154"/>
      <c r="J6" s="154"/>
      <c r="K6" s="162"/>
      <c r="L6" s="162"/>
      <c r="M6" s="162"/>
      <c r="N6" s="154"/>
    </row>
    <row r="7" spans="1:14" ht="111.75" customHeight="1" x14ac:dyDescent="0.25">
      <c r="A7" s="107">
        <v>3</v>
      </c>
      <c r="B7" s="108" t="s">
        <v>77</v>
      </c>
      <c r="C7" s="109" t="s">
        <v>78</v>
      </c>
      <c r="D7" s="109" t="s">
        <v>79</v>
      </c>
      <c r="E7" s="109" t="s">
        <v>80</v>
      </c>
      <c r="F7" s="109" t="s">
        <v>81</v>
      </c>
      <c r="G7" s="109" t="s">
        <v>82</v>
      </c>
      <c r="H7" s="119" t="s">
        <v>27</v>
      </c>
      <c r="I7" s="117"/>
      <c r="J7" s="110"/>
      <c r="K7" s="110"/>
      <c r="L7" s="110"/>
      <c r="M7" s="110"/>
      <c r="N7" s="110"/>
    </row>
    <row r="8" spans="1:14" ht="84.75" customHeight="1" x14ac:dyDescent="0.25">
      <c r="A8" s="128">
        <v>4</v>
      </c>
      <c r="B8" s="129" t="s">
        <v>77</v>
      </c>
      <c r="C8" s="130" t="s">
        <v>83</v>
      </c>
      <c r="D8" s="130" t="s">
        <v>84</v>
      </c>
      <c r="E8" s="130" t="s">
        <v>85</v>
      </c>
      <c r="F8" s="130" t="s">
        <v>86</v>
      </c>
      <c r="G8" s="130" t="s">
        <v>82</v>
      </c>
      <c r="H8" s="131" t="s">
        <v>74</v>
      </c>
      <c r="I8" s="127"/>
      <c r="J8" s="133"/>
      <c r="K8" s="133"/>
      <c r="L8" s="133"/>
      <c r="M8" s="133"/>
      <c r="N8" s="133"/>
    </row>
    <row r="9" spans="1:14" ht="92.25" customHeight="1" x14ac:dyDescent="0.25">
      <c r="A9" s="107">
        <v>5</v>
      </c>
      <c r="B9" s="108" t="s">
        <v>77</v>
      </c>
      <c r="C9" s="109" t="s">
        <v>87</v>
      </c>
      <c r="D9" s="109" t="s">
        <v>84</v>
      </c>
      <c r="E9" s="109" t="s">
        <v>85</v>
      </c>
      <c r="F9" s="109" t="s">
        <v>86</v>
      </c>
      <c r="G9" s="109" t="s">
        <v>82</v>
      </c>
      <c r="H9" s="119" t="s">
        <v>74</v>
      </c>
      <c r="I9" s="117"/>
      <c r="J9" s="110"/>
      <c r="K9" s="110"/>
      <c r="L9" s="110"/>
      <c r="M9" s="110"/>
      <c r="N9" s="110"/>
    </row>
    <row r="10" spans="1:14" ht="109.5" customHeight="1" x14ac:dyDescent="0.25">
      <c r="A10" s="164">
        <v>6</v>
      </c>
      <c r="B10" s="160" t="s">
        <v>77</v>
      </c>
      <c r="C10" s="150" t="s">
        <v>88</v>
      </c>
      <c r="D10" s="125" t="s">
        <v>89</v>
      </c>
      <c r="E10" s="125" t="s">
        <v>80</v>
      </c>
      <c r="F10" s="125" t="s">
        <v>81</v>
      </c>
      <c r="G10" s="150" t="s">
        <v>90</v>
      </c>
      <c r="H10" s="126" t="s">
        <v>27</v>
      </c>
      <c r="I10" s="153"/>
      <c r="J10" s="153"/>
      <c r="K10" s="153"/>
      <c r="L10" s="153"/>
      <c r="M10" s="153"/>
      <c r="N10" s="153"/>
    </row>
    <row r="11" spans="1:14" ht="86.25" customHeight="1" x14ac:dyDescent="0.25">
      <c r="A11" s="168"/>
      <c r="B11" s="161"/>
      <c r="C11" s="173"/>
      <c r="D11" s="130" t="s">
        <v>84</v>
      </c>
      <c r="E11" s="130" t="s">
        <v>85</v>
      </c>
      <c r="F11" s="130" t="s">
        <v>86</v>
      </c>
      <c r="G11" s="173"/>
      <c r="H11" s="131" t="s">
        <v>74</v>
      </c>
      <c r="I11" s="162"/>
      <c r="J11" s="162"/>
      <c r="K11" s="162"/>
      <c r="L11" s="162"/>
      <c r="M11" s="162"/>
      <c r="N11" s="162"/>
    </row>
    <row r="12" spans="1:14" ht="82.5" customHeight="1" x14ac:dyDescent="0.25">
      <c r="A12" s="107">
        <v>7</v>
      </c>
      <c r="B12" s="108" t="s">
        <v>91</v>
      </c>
      <c r="C12" s="109" t="s">
        <v>92</v>
      </c>
      <c r="D12" s="109" t="s">
        <v>93</v>
      </c>
      <c r="E12" s="109" t="s">
        <v>94</v>
      </c>
      <c r="F12" s="109" t="s">
        <v>95</v>
      </c>
      <c r="G12" s="109" t="s">
        <v>90</v>
      </c>
      <c r="H12" s="119" t="s">
        <v>27</v>
      </c>
      <c r="I12" s="117"/>
      <c r="J12" s="110"/>
      <c r="K12" s="110"/>
      <c r="L12" s="110"/>
      <c r="M12" s="110"/>
      <c r="N12" s="110"/>
    </row>
    <row r="13" spans="1:14" ht="87" customHeight="1" x14ac:dyDescent="0.25">
      <c r="A13" s="128">
        <v>8</v>
      </c>
      <c r="B13" s="129" t="s">
        <v>77</v>
      </c>
      <c r="C13" s="130" t="s">
        <v>96</v>
      </c>
      <c r="D13" s="130" t="s">
        <v>84</v>
      </c>
      <c r="E13" s="130" t="s">
        <v>85</v>
      </c>
      <c r="F13" s="130" t="s">
        <v>86</v>
      </c>
      <c r="G13" s="130" t="s">
        <v>90</v>
      </c>
      <c r="H13" s="131" t="s">
        <v>74</v>
      </c>
      <c r="I13" s="127"/>
      <c r="J13" s="133"/>
      <c r="K13" s="133"/>
      <c r="L13" s="133"/>
      <c r="M13" s="133"/>
      <c r="N13" s="133"/>
    </row>
    <row r="14" spans="1:14" ht="107.25" customHeight="1" x14ac:dyDescent="0.25">
      <c r="A14" s="107">
        <v>9</v>
      </c>
      <c r="B14" s="108" t="s">
        <v>97</v>
      </c>
      <c r="C14" s="109" t="s">
        <v>98</v>
      </c>
      <c r="D14" s="109" t="s">
        <v>99</v>
      </c>
      <c r="E14" s="109" t="s">
        <v>100</v>
      </c>
      <c r="F14" s="109" t="s">
        <v>81</v>
      </c>
      <c r="G14" s="109" t="s">
        <v>101</v>
      </c>
      <c r="H14" s="119" t="s">
        <v>27</v>
      </c>
      <c r="I14" s="117"/>
      <c r="J14" s="110"/>
      <c r="K14" s="110"/>
      <c r="L14" s="110"/>
      <c r="M14" s="110"/>
      <c r="N14" s="110"/>
    </row>
    <row r="15" spans="1:14" ht="62.25" customHeight="1" x14ac:dyDescent="0.25">
      <c r="A15" s="164">
        <v>10</v>
      </c>
      <c r="B15" s="160" t="s">
        <v>102</v>
      </c>
      <c r="C15" s="150" t="s">
        <v>103</v>
      </c>
      <c r="D15" s="125" t="s">
        <v>104</v>
      </c>
      <c r="E15" s="125" t="s">
        <v>105</v>
      </c>
      <c r="F15" s="125" t="s">
        <v>106</v>
      </c>
      <c r="G15" s="150" t="s">
        <v>107</v>
      </c>
      <c r="H15" s="126" t="s">
        <v>74</v>
      </c>
      <c r="I15" s="153"/>
      <c r="J15" s="153"/>
      <c r="K15" s="153"/>
      <c r="L15" s="153"/>
      <c r="M15" s="153"/>
      <c r="N15" s="153"/>
    </row>
    <row r="16" spans="1:14" ht="60" customHeight="1" x14ac:dyDescent="0.25">
      <c r="A16" s="164"/>
      <c r="B16" s="160"/>
      <c r="C16" s="150"/>
      <c r="D16" s="125" t="s">
        <v>108</v>
      </c>
      <c r="E16" s="125" t="s">
        <v>109</v>
      </c>
      <c r="F16" s="125" t="s">
        <v>110</v>
      </c>
      <c r="G16" s="150"/>
      <c r="H16" s="126" t="s">
        <v>74</v>
      </c>
      <c r="I16" s="162"/>
      <c r="J16" s="162"/>
      <c r="K16" s="162"/>
      <c r="L16" s="162"/>
      <c r="M16" s="162"/>
      <c r="N16" s="162"/>
    </row>
    <row r="17" spans="1:14" ht="53.25" customHeight="1" x14ac:dyDescent="0.25">
      <c r="A17" s="164"/>
      <c r="B17" s="160"/>
      <c r="C17" s="150"/>
      <c r="D17" s="125" t="s">
        <v>111</v>
      </c>
      <c r="E17" s="125" t="s">
        <v>112</v>
      </c>
      <c r="F17" s="125" t="s">
        <v>113</v>
      </c>
      <c r="G17" s="150"/>
      <c r="H17" s="126" t="s">
        <v>74</v>
      </c>
      <c r="I17" s="162"/>
      <c r="J17" s="162"/>
      <c r="K17" s="162"/>
      <c r="L17" s="162"/>
      <c r="M17" s="162"/>
      <c r="N17" s="162"/>
    </row>
    <row r="18" spans="1:14" ht="57" x14ac:dyDescent="0.25">
      <c r="A18" s="168"/>
      <c r="B18" s="161"/>
      <c r="C18" s="173"/>
      <c r="D18" s="130" t="s">
        <v>114</v>
      </c>
      <c r="E18" s="130" t="s">
        <v>115</v>
      </c>
      <c r="F18" s="130" t="s">
        <v>116</v>
      </c>
      <c r="G18" s="173"/>
      <c r="H18" s="131" t="s">
        <v>74</v>
      </c>
      <c r="I18" s="162"/>
      <c r="J18" s="162"/>
      <c r="K18" s="162"/>
      <c r="L18" s="162"/>
      <c r="M18" s="162"/>
      <c r="N18" s="162"/>
    </row>
    <row r="19" spans="1:14" ht="81.75" customHeight="1" x14ac:dyDescent="0.25">
      <c r="A19" s="103">
        <v>11</v>
      </c>
      <c r="B19" s="104" t="s">
        <v>102</v>
      </c>
      <c r="C19" s="105" t="s">
        <v>117</v>
      </c>
      <c r="D19" s="105" t="s">
        <v>118</v>
      </c>
      <c r="E19" s="105" t="s">
        <v>119</v>
      </c>
      <c r="F19" s="105" t="s">
        <v>120</v>
      </c>
      <c r="G19" s="105" t="s">
        <v>107</v>
      </c>
      <c r="H19" s="118" t="s">
        <v>27</v>
      </c>
      <c r="I19" s="114"/>
      <c r="J19" s="106"/>
      <c r="K19" s="106"/>
      <c r="L19" s="106"/>
      <c r="M19" s="106"/>
      <c r="N19" s="106"/>
    </row>
    <row r="20" spans="1:14" ht="85.5" x14ac:dyDescent="0.25">
      <c r="A20" s="134">
        <v>12</v>
      </c>
      <c r="B20" s="135" t="s">
        <v>121</v>
      </c>
      <c r="C20" s="136" t="s">
        <v>122</v>
      </c>
      <c r="D20" s="136" t="s">
        <v>123</v>
      </c>
      <c r="E20" s="136" t="s">
        <v>124</v>
      </c>
      <c r="F20" s="136" t="s">
        <v>125</v>
      </c>
      <c r="G20" s="136" t="s">
        <v>126</v>
      </c>
      <c r="H20" s="137" t="s">
        <v>27</v>
      </c>
      <c r="I20" s="132"/>
      <c r="J20" s="138"/>
      <c r="K20" s="138"/>
      <c r="L20" s="138"/>
      <c r="M20" s="138"/>
      <c r="N20" s="138"/>
    </row>
    <row r="21" spans="1:14" ht="71.25" x14ac:dyDescent="0.25">
      <c r="A21" s="103">
        <v>13</v>
      </c>
      <c r="B21" s="104" t="s">
        <v>127</v>
      </c>
      <c r="C21" s="105" t="s">
        <v>128</v>
      </c>
      <c r="D21" s="105" t="s">
        <v>129</v>
      </c>
      <c r="E21" s="105" t="s">
        <v>130</v>
      </c>
      <c r="F21" s="105" t="s">
        <v>131</v>
      </c>
      <c r="G21" s="105" t="s">
        <v>132</v>
      </c>
      <c r="H21" s="118" t="s">
        <v>27</v>
      </c>
      <c r="I21" s="114"/>
      <c r="J21" s="106"/>
      <c r="K21" s="106"/>
      <c r="L21" s="106"/>
      <c r="M21" s="106"/>
      <c r="N21" s="106"/>
    </row>
    <row r="22" spans="1:14" ht="85.5" x14ac:dyDescent="0.25">
      <c r="A22" s="128">
        <v>14</v>
      </c>
      <c r="B22" s="129" t="s">
        <v>68</v>
      </c>
      <c r="C22" s="130" t="s">
        <v>133</v>
      </c>
      <c r="D22" s="130" t="s">
        <v>134</v>
      </c>
      <c r="E22" s="130" t="s">
        <v>135</v>
      </c>
      <c r="F22" s="130" t="s">
        <v>125</v>
      </c>
      <c r="G22" s="130" t="s">
        <v>73</v>
      </c>
      <c r="H22" s="131" t="s">
        <v>27</v>
      </c>
      <c r="I22" s="127"/>
      <c r="J22" s="133"/>
      <c r="K22" s="133"/>
      <c r="L22" s="133"/>
      <c r="M22" s="133"/>
      <c r="N22" s="133"/>
    </row>
    <row r="23" spans="1:14" ht="115.5" customHeight="1" x14ac:dyDescent="0.25">
      <c r="A23" s="103">
        <v>15</v>
      </c>
      <c r="B23" s="108" t="s">
        <v>136</v>
      </c>
      <c r="C23" s="111" t="s">
        <v>137</v>
      </c>
      <c r="D23" s="109" t="s">
        <v>138</v>
      </c>
      <c r="E23" s="109" t="s">
        <v>139</v>
      </c>
      <c r="F23" s="109" t="s">
        <v>140</v>
      </c>
      <c r="G23" s="109" t="s">
        <v>141</v>
      </c>
      <c r="H23" s="119" t="s">
        <v>74</v>
      </c>
      <c r="I23" s="117"/>
      <c r="J23" s="110"/>
      <c r="K23" s="110"/>
      <c r="L23" s="110"/>
      <c r="M23" s="110"/>
      <c r="N23" s="110"/>
    </row>
    <row r="24" spans="1:14" ht="78" customHeight="1" x14ac:dyDescent="0.25">
      <c r="A24" s="169">
        <v>16</v>
      </c>
      <c r="B24" s="160" t="s">
        <v>56</v>
      </c>
      <c r="C24" s="176" t="s">
        <v>142</v>
      </c>
      <c r="D24" s="139" t="s">
        <v>143</v>
      </c>
      <c r="E24" s="125" t="s">
        <v>144</v>
      </c>
      <c r="F24" s="125" t="s">
        <v>106</v>
      </c>
      <c r="G24" s="150" t="s">
        <v>61</v>
      </c>
      <c r="H24" s="126" t="s">
        <v>74</v>
      </c>
      <c r="I24" s="153"/>
      <c r="J24" s="153"/>
      <c r="K24" s="153"/>
      <c r="L24" s="153"/>
      <c r="M24" s="153"/>
      <c r="N24" s="153"/>
    </row>
    <row r="25" spans="1:14" ht="90" customHeight="1" x14ac:dyDescent="0.25">
      <c r="A25" s="170"/>
      <c r="B25" s="161"/>
      <c r="C25" s="177"/>
      <c r="D25" s="140" t="s">
        <v>145</v>
      </c>
      <c r="E25" s="130" t="s">
        <v>146</v>
      </c>
      <c r="F25" s="130" t="s">
        <v>110</v>
      </c>
      <c r="G25" s="173"/>
      <c r="H25" s="131" t="s">
        <v>74</v>
      </c>
      <c r="I25" s="154"/>
      <c r="J25" s="154"/>
      <c r="K25" s="154"/>
      <c r="L25" s="154"/>
      <c r="M25" s="154"/>
      <c r="N25" s="154"/>
    </row>
    <row r="26" spans="1:14" ht="87.75" customHeight="1" x14ac:dyDescent="0.25">
      <c r="A26" s="171">
        <v>17</v>
      </c>
      <c r="B26" s="158" t="s">
        <v>62</v>
      </c>
      <c r="C26" s="151" t="s">
        <v>147</v>
      </c>
      <c r="D26" s="105" t="s">
        <v>148</v>
      </c>
      <c r="E26" s="105" t="s">
        <v>149</v>
      </c>
      <c r="F26" s="105" t="s">
        <v>150</v>
      </c>
      <c r="G26" s="174" t="s">
        <v>64</v>
      </c>
      <c r="H26" s="118" t="s">
        <v>74</v>
      </c>
      <c r="I26" s="155"/>
      <c r="J26" s="155"/>
      <c r="K26" s="155"/>
      <c r="L26" s="155"/>
      <c r="M26" s="155"/>
      <c r="N26" s="155"/>
    </row>
    <row r="27" spans="1:14" ht="71.25" x14ac:dyDescent="0.25">
      <c r="A27" s="172"/>
      <c r="B27" s="159"/>
      <c r="C27" s="152"/>
      <c r="D27" s="109" t="s">
        <v>151</v>
      </c>
      <c r="E27" s="109" t="s">
        <v>152</v>
      </c>
      <c r="F27" s="109" t="s">
        <v>106</v>
      </c>
      <c r="G27" s="175"/>
      <c r="H27" s="119" t="s">
        <v>74</v>
      </c>
      <c r="I27" s="156"/>
      <c r="J27" s="156"/>
      <c r="K27" s="156"/>
      <c r="L27" s="156"/>
      <c r="M27" s="156"/>
      <c r="N27" s="156"/>
    </row>
    <row r="28" spans="1:14" ht="84.75" customHeight="1" x14ac:dyDescent="0.25">
      <c r="A28" s="164">
        <v>18</v>
      </c>
      <c r="B28" s="157" t="s">
        <v>65</v>
      </c>
      <c r="C28" s="150" t="s">
        <v>153</v>
      </c>
      <c r="D28" s="139" t="s">
        <v>148</v>
      </c>
      <c r="E28" s="125" t="s">
        <v>154</v>
      </c>
      <c r="F28" s="141" t="s">
        <v>150</v>
      </c>
      <c r="G28" s="150" t="s">
        <v>67</v>
      </c>
      <c r="H28" s="142" t="s">
        <v>74</v>
      </c>
      <c r="I28" s="153"/>
      <c r="J28" s="153"/>
      <c r="K28" s="153"/>
      <c r="L28" s="153"/>
      <c r="M28" s="153"/>
      <c r="N28" s="153"/>
    </row>
    <row r="29" spans="1:14" ht="71.25" x14ac:dyDescent="0.25">
      <c r="A29" s="164"/>
      <c r="B29" s="157"/>
      <c r="C29" s="150"/>
      <c r="D29" s="140" t="s">
        <v>151</v>
      </c>
      <c r="E29" s="130" t="s">
        <v>155</v>
      </c>
      <c r="F29" s="143" t="s">
        <v>106</v>
      </c>
      <c r="G29" s="150"/>
      <c r="H29" s="144" t="s">
        <v>74</v>
      </c>
      <c r="I29" s="154"/>
      <c r="J29" s="154"/>
      <c r="K29" s="154"/>
      <c r="L29" s="154"/>
      <c r="M29" s="154"/>
      <c r="N29" s="154"/>
    </row>
    <row r="30" spans="1:14" ht="57" x14ac:dyDescent="0.25">
      <c r="A30" s="120">
        <v>19</v>
      </c>
      <c r="B30" s="121" t="s">
        <v>97</v>
      </c>
      <c r="C30" s="122" t="s">
        <v>156</v>
      </c>
      <c r="D30" s="105" t="s">
        <v>157</v>
      </c>
      <c r="E30" s="105" t="s">
        <v>158</v>
      </c>
      <c r="F30" s="105" t="s">
        <v>159</v>
      </c>
      <c r="G30" s="122" t="s">
        <v>101</v>
      </c>
      <c r="H30" s="118" t="s">
        <v>74</v>
      </c>
      <c r="I30" s="114"/>
      <c r="J30" s="106"/>
      <c r="K30" s="106"/>
      <c r="L30" s="106"/>
      <c r="M30" s="106"/>
      <c r="N30" s="106"/>
    </row>
    <row r="31" spans="1:14" ht="57" x14ac:dyDescent="0.25">
      <c r="A31" s="123">
        <v>20</v>
      </c>
      <c r="B31" s="124" t="s">
        <v>160</v>
      </c>
      <c r="C31" s="125" t="s">
        <v>161</v>
      </c>
      <c r="D31" s="125" t="s">
        <v>162</v>
      </c>
      <c r="E31" s="125" t="s">
        <v>163</v>
      </c>
      <c r="F31" s="125" t="s">
        <v>164</v>
      </c>
      <c r="G31" s="125" t="s">
        <v>165</v>
      </c>
      <c r="H31" s="126" t="s">
        <v>74</v>
      </c>
      <c r="I31" s="145"/>
      <c r="J31" s="146"/>
      <c r="K31" s="146"/>
      <c r="L31" s="146"/>
      <c r="M31" s="146"/>
      <c r="N31" s="146"/>
    </row>
    <row r="34" spans="2:3" x14ac:dyDescent="0.25">
      <c r="B34" s="101" t="s">
        <v>9</v>
      </c>
      <c r="C34" s="147">
        <v>20</v>
      </c>
    </row>
    <row r="35" spans="2:3" x14ac:dyDescent="0.25">
      <c r="B35" s="101" t="s">
        <v>166</v>
      </c>
    </row>
    <row r="36" spans="2:3" x14ac:dyDescent="0.25">
      <c r="B36" s="101" t="s">
        <v>167</v>
      </c>
    </row>
    <row r="37" spans="2:3" x14ac:dyDescent="0.25">
      <c r="B37" s="101" t="s">
        <v>168</v>
      </c>
    </row>
    <row r="38" spans="2:3" x14ac:dyDescent="0.25">
      <c r="B38" s="101" t="s">
        <v>169</v>
      </c>
    </row>
    <row r="39" spans="2:3" x14ac:dyDescent="0.25">
      <c r="B39" s="101" t="s">
        <v>170</v>
      </c>
    </row>
  </sheetData>
  <autoFilter ref="A1:N1" xr:uid="{AC3E3F92-871C-43AC-B99F-A10EA6B2364D}"/>
  <mergeCells count="68">
    <mergeCell ref="C2:C4"/>
    <mergeCell ref="C5:C6"/>
    <mergeCell ref="C10:C11"/>
    <mergeCell ref="C15:C18"/>
    <mergeCell ref="C24:C25"/>
    <mergeCell ref="G5:G6"/>
    <mergeCell ref="G10:G11"/>
    <mergeCell ref="G15:G18"/>
    <mergeCell ref="G24:G25"/>
    <mergeCell ref="G26:G27"/>
    <mergeCell ref="A28:A29"/>
    <mergeCell ref="K2:K4"/>
    <mergeCell ref="L2:L4"/>
    <mergeCell ref="B5:B6"/>
    <mergeCell ref="K5:K6"/>
    <mergeCell ref="L5:L6"/>
    <mergeCell ref="B10:B11"/>
    <mergeCell ref="I10:I11"/>
    <mergeCell ref="J10:J11"/>
    <mergeCell ref="A2:A4"/>
    <mergeCell ref="A5:A6"/>
    <mergeCell ref="A10:A11"/>
    <mergeCell ref="A15:A18"/>
    <mergeCell ref="A24:A25"/>
    <mergeCell ref="A26:A27"/>
    <mergeCell ref="C28:C29"/>
    <mergeCell ref="M2:M4"/>
    <mergeCell ref="M5:M6"/>
    <mergeCell ref="J2:J4"/>
    <mergeCell ref="I2:I4"/>
    <mergeCell ref="N2:N4"/>
    <mergeCell ref="I5:I6"/>
    <mergeCell ref="J5:J6"/>
    <mergeCell ref="N5:N6"/>
    <mergeCell ref="K10:K11"/>
    <mergeCell ref="L10:L11"/>
    <mergeCell ref="M10:M11"/>
    <mergeCell ref="N10:N11"/>
    <mergeCell ref="B15:B18"/>
    <mergeCell ref="I15:I18"/>
    <mergeCell ref="J15:J18"/>
    <mergeCell ref="K15:K18"/>
    <mergeCell ref="L15:L18"/>
    <mergeCell ref="M15:M18"/>
    <mergeCell ref="N15:N18"/>
    <mergeCell ref="B24:B25"/>
    <mergeCell ref="I24:I25"/>
    <mergeCell ref="J24:J25"/>
    <mergeCell ref="K24:K25"/>
    <mergeCell ref="L24:L25"/>
    <mergeCell ref="B26:B27"/>
    <mergeCell ref="I26:I27"/>
    <mergeCell ref="J26:J27"/>
    <mergeCell ref="K26:K27"/>
    <mergeCell ref="L26:L27"/>
    <mergeCell ref="B28:B29"/>
    <mergeCell ref="I28:I29"/>
    <mergeCell ref="J28:J29"/>
    <mergeCell ref="K28:K29"/>
    <mergeCell ref="L28:L29"/>
    <mergeCell ref="G28:G29"/>
    <mergeCell ref="C26:C27"/>
    <mergeCell ref="M24:M25"/>
    <mergeCell ref="N24:N25"/>
    <mergeCell ref="N26:N27"/>
    <mergeCell ref="M28:M29"/>
    <mergeCell ref="N28:N29"/>
    <mergeCell ref="M26:M27"/>
  </mergeCells>
  <conditionalFormatting sqref="H1:H1048576">
    <cfRule type="containsText" dxfId="15" priority="1" operator="containsText" text="Medium ">
      <formula>NOT(ISERROR(SEARCH("Medium ",H1)))</formula>
    </cfRule>
    <cfRule type="containsText" dxfId="14" priority="2" operator="containsText" text="Low">
      <formula>NOT(ISERROR(SEARCH("Low",H1)))</formula>
    </cfRule>
  </conditionalFormatting>
  <conditionalFormatting sqref="M1">
    <cfRule type="containsText" dxfId="13" priority="3" operator="containsText" text="In-Progress">
      <formula>NOT(ISERROR(SEARCH("In-Progress",M1)))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C30D-0E3D-4FFB-A878-9830AE9CD2FC}">
  <sheetPr>
    <tabColor theme="7"/>
  </sheetPr>
  <dimension ref="A1:J68"/>
  <sheetViews>
    <sheetView topLeftCell="A60" workbookViewId="0">
      <selection activeCell="B65" sqref="B65"/>
    </sheetView>
  </sheetViews>
  <sheetFormatPr defaultRowHeight="15" x14ac:dyDescent="0.25"/>
  <cols>
    <col min="1" max="1" width="12.7109375" bestFit="1" customWidth="1"/>
    <col min="2" max="2" width="63.85546875" style="1" customWidth="1"/>
    <col min="3" max="3" width="39.42578125" bestFit="1" customWidth="1"/>
    <col min="4" max="4" width="55.28515625" style="1" customWidth="1"/>
    <col min="5" max="5" width="13" customWidth="1"/>
    <col min="6" max="6" width="16.28515625" bestFit="1" customWidth="1"/>
    <col min="7" max="7" width="14.140625" customWidth="1"/>
    <col min="8" max="8" width="10.85546875" customWidth="1"/>
    <col min="9" max="9" width="37.140625" style="1" customWidth="1"/>
  </cols>
  <sheetData>
    <row r="1" spans="1:10" x14ac:dyDescent="0.25">
      <c r="A1" s="5" t="s">
        <v>171</v>
      </c>
      <c r="B1" s="6" t="s">
        <v>172</v>
      </c>
      <c r="C1" s="5" t="s">
        <v>173</v>
      </c>
      <c r="D1" s="6" t="s">
        <v>174</v>
      </c>
      <c r="E1" s="5" t="s">
        <v>175</v>
      </c>
      <c r="F1" s="5" t="s">
        <v>176</v>
      </c>
      <c r="G1" s="5" t="s">
        <v>8</v>
      </c>
      <c r="H1" s="5" t="s">
        <v>54</v>
      </c>
      <c r="I1" s="6" t="s">
        <v>177</v>
      </c>
    </row>
    <row r="2" spans="1:10" ht="45" x14ac:dyDescent="0.25">
      <c r="A2" s="7" t="s">
        <v>178</v>
      </c>
      <c r="B2" s="8" t="s">
        <v>179</v>
      </c>
      <c r="C2" s="7" t="s">
        <v>180</v>
      </c>
      <c r="D2" s="8" t="s">
        <v>181</v>
      </c>
      <c r="E2" s="7" t="s">
        <v>182</v>
      </c>
      <c r="F2" s="8" t="s">
        <v>183</v>
      </c>
      <c r="G2" s="7" t="s">
        <v>184</v>
      </c>
      <c r="H2" s="7" t="s">
        <v>3</v>
      </c>
      <c r="I2" s="25" t="s">
        <v>185</v>
      </c>
    </row>
    <row r="3" spans="1:10" ht="45" x14ac:dyDescent="0.25">
      <c r="A3" s="78" t="s">
        <v>178</v>
      </c>
      <c r="B3" s="79" t="s">
        <v>186</v>
      </c>
      <c r="C3" s="78" t="s">
        <v>187</v>
      </c>
      <c r="D3" s="79" t="s">
        <v>188</v>
      </c>
      <c r="E3" s="78" t="s">
        <v>182</v>
      </c>
      <c r="F3" s="79" t="s">
        <v>183</v>
      </c>
      <c r="G3" s="78" t="s">
        <v>184</v>
      </c>
      <c r="H3" s="78" t="s">
        <v>3</v>
      </c>
      <c r="I3" s="59" t="s">
        <v>185</v>
      </c>
    </row>
    <row r="4" spans="1:10" ht="45" x14ac:dyDescent="0.25">
      <c r="A4" s="78" t="s">
        <v>178</v>
      </c>
      <c r="B4" s="79" t="s">
        <v>189</v>
      </c>
      <c r="C4" s="78" t="s">
        <v>190</v>
      </c>
      <c r="D4" s="79" t="s">
        <v>191</v>
      </c>
      <c r="E4" s="78" t="s">
        <v>182</v>
      </c>
      <c r="F4" s="79" t="s">
        <v>183</v>
      </c>
      <c r="G4" s="78" t="s">
        <v>184</v>
      </c>
      <c r="H4" s="78" t="s">
        <v>4</v>
      </c>
      <c r="I4" s="148" t="s">
        <v>192</v>
      </c>
    </row>
    <row r="5" spans="1:10" ht="45" x14ac:dyDescent="0.25">
      <c r="A5" s="78" t="s">
        <v>178</v>
      </c>
      <c r="B5" s="79" t="s">
        <v>193</v>
      </c>
      <c r="C5" s="78" t="s">
        <v>194</v>
      </c>
      <c r="D5" s="79" t="s">
        <v>195</v>
      </c>
      <c r="E5" s="78" t="s">
        <v>27</v>
      </c>
      <c r="F5" s="79" t="s">
        <v>11</v>
      </c>
      <c r="G5" s="78" t="s">
        <v>196</v>
      </c>
      <c r="H5" s="78" t="s">
        <v>169</v>
      </c>
      <c r="I5" s="80" t="s">
        <v>197</v>
      </c>
    </row>
    <row r="6" spans="1:10" ht="105" x14ac:dyDescent="0.25">
      <c r="A6" s="78" t="s">
        <v>178</v>
      </c>
      <c r="B6" s="79" t="s">
        <v>198</v>
      </c>
      <c r="C6" s="78" t="s">
        <v>199</v>
      </c>
      <c r="D6" s="79" t="s">
        <v>200</v>
      </c>
      <c r="E6" s="78" t="s">
        <v>26</v>
      </c>
      <c r="F6" s="79" t="s">
        <v>183</v>
      </c>
      <c r="G6" s="78" t="s">
        <v>201</v>
      </c>
      <c r="H6" s="78" t="s">
        <v>5</v>
      </c>
      <c r="I6" s="92" t="s">
        <v>202</v>
      </c>
    </row>
    <row r="7" spans="1:10" ht="45" x14ac:dyDescent="0.25">
      <c r="A7" s="78" t="s">
        <v>178</v>
      </c>
      <c r="B7" s="79" t="s">
        <v>203</v>
      </c>
      <c r="C7" s="78" t="s">
        <v>204</v>
      </c>
      <c r="D7" s="79" t="s">
        <v>205</v>
      </c>
      <c r="E7" s="78" t="s">
        <v>182</v>
      </c>
      <c r="F7" s="79" t="s">
        <v>183</v>
      </c>
      <c r="G7" s="78" t="s">
        <v>184</v>
      </c>
      <c r="H7" s="78" t="s">
        <v>3</v>
      </c>
      <c r="I7" s="148" t="s">
        <v>206</v>
      </c>
    </row>
    <row r="8" spans="1:10" ht="45" x14ac:dyDescent="0.25">
      <c r="A8" s="78" t="s">
        <v>178</v>
      </c>
      <c r="B8" s="79" t="s">
        <v>207</v>
      </c>
      <c r="C8" s="78" t="s">
        <v>208</v>
      </c>
      <c r="D8" s="79" t="s">
        <v>209</v>
      </c>
      <c r="E8" s="78" t="s">
        <v>27</v>
      </c>
      <c r="F8" s="79" t="s">
        <v>11</v>
      </c>
      <c r="G8" s="78" t="s">
        <v>196</v>
      </c>
      <c r="H8" s="78" t="s">
        <v>169</v>
      </c>
      <c r="I8" s="80" t="s">
        <v>210</v>
      </c>
    </row>
    <row r="9" spans="1:10" ht="30" x14ac:dyDescent="0.25">
      <c r="A9" s="78" t="s">
        <v>178</v>
      </c>
      <c r="B9" s="79" t="s">
        <v>211</v>
      </c>
      <c r="C9" s="78" t="s">
        <v>212</v>
      </c>
      <c r="D9" s="79" t="s">
        <v>213</v>
      </c>
      <c r="E9" s="78" t="s">
        <v>182</v>
      </c>
      <c r="F9" s="79" t="s">
        <v>12</v>
      </c>
      <c r="G9" s="78"/>
      <c r="H9" s="78" t="s">
        <v>169</v>
      </c>
      <c r="I9" s="80" t="s">
        <v>210</v>
      </c>
    </row>
    <row r="10" spans="1:10" ht="75" x14ac:dyDescent="0.25">
      <c r="A10" s="78" t="s">
        <v>178</v>
      </c>
      <c r="B10" s="79" t="s">
        <v>214</v>
      </c>
      <c r="C10" s="78" t="s">
        <v>215</v>
      </c>
      <c r="D10" s="79" t="s">
        <v>216</v>
      </c>
      <c r="E10" s="78" t="s">
        <v>27</v>
      </c>
      <c r="F10" s="79" t="s">
        <v>183</v>
      </c>
      <c r="G10" s="78" t="s">
        <v>217</v>
      </c>
      <c r="H10" s="78" t="s">
        <v>5</v>
      </c>
      <c r="I10" s="148" t="s">
        <v>218</v>
      </c>
    </row>
    <row r="11" spans="1:10" ht="45" x14ac:dyDescent="0.25">
      <c r="A11" s="78" t="s">
        <v>178</v>
      </c>
      <c r="B11" s="79" t="s">
        <v>219</v>
      </c>
      <c r="C11" s="78" t="s">
        <v>220</v>
      </c>
      <c r="D11" s="79" t="s">
        <v>221</v>
      </c>
      <c r="E11" s="78" t="s">
        <v>27</v>
      </c>
      <c r="F11" s="79" t="s">
        <v>11</v>
      </c>
      <c r="G11" s="78" t="s">
        <v>196</v>
      </c>
      <c r="H11" s="78" t="s">
        <v>3</v>
      </c>
      <c r="I11" s="80" t="s">
        <v>222</v>
      </c>
      <c r="J11" s="80"/>
    </row>
    <row r="12" spans="1:10" ht="45" x14ac:dyDescent="0.25">
      <c r="A12" s="78" t="s">
        <v>178</v>
      </c>
      <c r="B12" s="79" t="s">
        <v>223</v>
      </c>
      <c r="C12" s="78" t="s">
        <v>224</v>
      </c>
      <c r="D12" s="79" t="s">
        <v>225</v>
      </c>
      <c r="E12" s="78" t="s">
        <v>27</v>
      </c>
      <c r="F12" s="79" t="s">
        <v>11</v>
      </c>
      <c r="G12" s="78" t="s">
        <v>196</v>
      </c>
      <c r="H12" s="78" t="s">
        <v>3</v>
      </c>
      <c r="I12" s="80" t="s">
        <v>222</v>
      </c>
    </row>
    <row r="13" spans="1:10" ht="45" x14ac:dyDescent="0.25">
      <c r="A13" s="78" t="s">
        <v>178</v>
      </c>
      <c r="B13" s="79" t="s">
        <v>226</v>
      </c>
      <c r="C13" s="78" t="s">
        <v>227</v>
      </c>
      <c r="D13" s="79" t="s">
        <v>228</v>
      </c>
      <c r="E13" s="78" t="s">
        <v>27</v>
      </c>
      <c r="F13" s="79" t="s">
        <v>11</v>
      </c>
      <c r="G13" s="78" t="s">
        <v>196</v>
      </c>
      <c r="H13" s="78" t="s">
        <v>169</v>
      </c>
      <c r="I13" s="80" t="s">
        <v>185</v>
      </c>
    </row>
    <row r="14" spans="1:10" ht="45" x14ac:dyDescent="0.25">
      <c r="A14" s="78" t="s">
        <v>178</v>
      </c>
      <c r="B14" s="79" t="s">
        <v>229</v>
      </c>
      <c r="C14" s="78" t="s">
        <v>230</v>
      </c>
      <c r="D14" s="79" t="s">
        <v>231</v>
      </c>
      <c r="E14" s="78" t="s">
        <v>27</v>
      </c>
      <c r="F14" s="79" t="s">
        <v>11</v>
      </c>
      <c r="G14" s="78" t="s">
        <v>196</v>
      </c>
      <c r="H14" s="78" t="s">
        <v>169</v>
      </c>
      <c r="I14" s="80" t="s">
        <v>185</v>
      </c>
    </row>
    <row r="15" spans="1:10" ht="30" x14ac:dyDescent="0.25">
      <c r="A15" s="78" t="s">
        <v>178</v>
      </c>
      <c r="B15" s="79" t="s">
        <v>232</v>
      </c>
      <c r="C15" s="78" t="s">
        <v>233</v>
      </c>
      <c r="D15" s="79" t="s">
        <v>234</v>
      </c>
      <c r="E15" s="78" t="s">
        <v>182</v>
      </c>
      <c r="F15" s="79" t="s">
        <v>12</v>
      </c>
      <c r="G15" s="78" t="s">
        <v>196</v>
      </c>
      <c r="H15" s="78" t="s">
        <v>3</v>
      </c>
      <c r="I15" s="80" t="s">
        <v>235</v>
      </c>
    </row>
    <row r="16" spans="1:10" ht="45" x14ac:dyDescent="0.25">
      <c r="A16" s="78" t="s">
        <v>178</v>
      </c>
      <c r="B16" s="79" t="s">
        <v>236</v>
      </c>
      <c r="C16" s="78" t="s">
        <v>237</v>
      </c>
      <c r="D16" s="79" t="s">
        <v>238</v>
      </c>
      <c r="E16" s="78" t="s">
        <v>27</v>
      </c>
      <c r="F16" s="79" t="s">
        <v>17</v>
      </c>
      <c r="G16" s="78" t="s">
        <v>239</v>
      </c>
      <c r="H16" s="78" t="s">
        <v>4</v>
      </c>
      <c r="I16" s="59" t="s">
        <v>240</v>
      </c>
    </row>
    <row r="17" spans="1:9" ht="45" x14ac:dyDescent="0.25">
      <c r="A17" s="78" t="s">
        <v>178</v>
      </c>
      <c r="B17" s="79" t="s">
        <v>241</v>
      </c>
      <c r="C17" s="78" t="s">
        <v>242</v>
      </c>
      <c r="D17" s="79" t="s">
        <v>243</v>
      </c>
      <c r="E17" s="78" t="s">
        <v>27</v>
      </c>
      <c r="F17" s="79" t="s">
        <v>11</v>
      </c>
      <c r="G17" s="78" t="s">
        <v>196</v>
      </c>
      <c r="H17" s="78" t="s">
        <v>169</v>
      </c>
      <c r="I17" s="80" t="s">
        <v>185</v>
      </c>
    </row>
    <row r="18" spans="1:9" ht="45" x14ac:dyDescent="0.25">
      <c r="A18" s="78" t="s">
        <v>178</v>
      </c>
      <c r="B18" s="79" t="s">
        <v>244</v>
      </c>
      <c r="C18" s="78" t="s">
        <v>245</v>
      </c>
      <c r="D18" s="79" t="s">
        <v>246</v>
      </c>
      <c r="E18" s="78" t="s">
        <v>27</v>
      </c>
      <c r="F18" s="79" t="s">
        <v>183</v>
      </c>
      <c r="G18" s="78" t="s">
        <v>201</v>
      </c>
      <c r="H18" s="78" t="s">
        <v>169</v>
      </c>
      <c r="I18" s="59" t="s">
        <v>247</v>
      </c>
    </row>
    <row r="19" spans="1:9" ht="45" x14ac:dyDescent="0.25">
      <c r="A19" s="78" t="s">
        <v>178</v>
      </c>
      <c r="B19" s="79" t="s">
        <v>248</v>
      </c>
      <c r="C19" s="78" t="s">
        <v>249</v>
      </c>
      <c r="D19" s="79" t="s">
        <v>250</v>
      </c>
      <c r="E19" s="78" t="s">
        <v>27</v>
      </c>
      <c r="F19" s="79" t="s">
        <v>11</v>
      </c>
      <c r="G19" s="78" t="s">
        <v>196</v>
      </c>
      <c r="H19" s="78" t="s">
        <v>169</v>
      </c>
      <c r="I19" s="80" t="s">
        <v>185</v>
      </c>
    </row>
    <row r="20" spans="1:9" ht="45" x14ac:dyDescent="0.25">
      <c r="A20" s="78" t="s">
        <v>178</v>
      </c>
      <c r="B20" s="79" t="s">
        <v>251</v>
      </c>
      <c r="C20" s="78" t="s">
        <v>252</v>
      </c>
      <c r="D20" s="79" t="s">
        <v>253</v>
      </c>
      <c r="E20" s="78" t="s">
        <v>27</v>
      </c>
      <c r="F20" s="79" t="s">
        <v>11</v>
      </c>
      <c r="G20" s="78" t="s">
        <v>196</v>
      </c>
      <c r="H20" s="78" t="s">
        <v>254</v>
      </c>
      <c r="I20" s="80" t="s">
        <v>185</v>
      </c>
    </row>
    <row r="21" spans="1:9" ht="45" x14ac:dyDescent="0.25">
      <c r="A21" s="78" t="s">
        <v>178</v>
      </c>
      <c r="B21" s="79" t="s">
        <v>255</v>
      </c>
      <c r="C21" s="78" t="s">
        <v>256</v>
      </c>
      <c r="D21" s="79" t="s">
        <v>257</v>
      </c>
      <c r="E21" s="78" t="s">
        <v>27</v>
      </c>
      <c r="F21" s="79" t="s">
        <v>11</v>
      </c>
      <c r="G21" s="78" t="s">
        <v>196</v>
      </c>
      <c r="H21" s="78" t="s">
        <v>169</v>
      </c>
      <c r="I21" s="80" t="s">
        <v>185</v>
      </c>
    </row>
    <row r="22" spans="1:9" ht="45" x14ac:dyDescent="0.25">
      <c r="A22" s="78" t="s">
        <v>178</v>
      </c>
      <c r="B22" s="79" t="s">
        <v>258</v>
      </c>
      <c r="C22" s="78" t="s">
        <v>259</v>
      </c>
      <c r="D22" s="79" t="s">
        <v>260</v>
      </c>
      <c r="E22" s="78" t="s">
        <v>27</v>
      </c>
      <c r="F22" s="79" t="s">
        <v>11</v>
      </c>
      <c r="G22" s="78" t="s">
        <v>196</v>
      </c>
      <c r="H22" s="78" t="s">
        <v>169</v>
      </c>
      <c r="I22" s="80" t="s">
        <v>185</v>
      </c>
    </row>
    <row r="23" spans="1:9" ht="30" x14ac:dyDescent="0.25">
      <c r="A23" s="78" t="s">
        <v>178</v>
      </c>
      <c r="B23" s="79" t="s">
        <v>261</v>
      </c>
      <c r="C23" s="78" t="s">
        <v>262</v>
      </c>
      <c r="D23" s="79" t="s">
        <v>263</v>
      </c>
      <c r="E23" s="78" t="s">
        <v>27</v>
      </c>
      <c r="F23" s="79" t="s">
        <v>11</v>
      </c>
      <c r="G23" s="78" t="s">
        <v>196</v>
      </c>
      <c r="H23" s="78" t="s">
        <v>169</v>
      </c>
      <c r="I23" s="80" t="s">
        <v>185</v>
      </c>
    </row>
    <row r="24" spans="1:9" ht="45" x14ac:dyDescent="0.25">
      <c r="A24" s="78" t="s">
        <v>178</v>
      </c>
      <c r="B24" s="79" t="s">
        <v>264</v>
      </c>
      <c r="C24" s="78" t="s">
        <v>265</v>
      </c>
      <c r="D24" s="79" t="s">
        <v>266</v>
      </c>
      <c r="E24" s="78" t="s">
        <v>27</v>
      </c>
      <c r="F24" s="79" t="s">
        <v>12</v>
      </c>
      <c r="G24" s="78" t="s">
        <v>217</v>
      </c>
      <c r="H24" s="78" t="s">
        <v>169</v>
      </c>
      <c r="I24" s="80" t="s">
        <v>185</v>
      </c>
    </row>
    <row r="25" spans="1:9" ht="45" x14ac:dyDescent="0.25">
      <c r="A25" s="78" t="s">
        <v>178</v>
      </c>
      <c r="B25" s="79" t="s">
        <v>267</v>
      </c>
      <c r="C25" s="78" t="s">
        <v>268</v>
      </c>
      <c r="D25" s="79" t="s">
        <v>269</v>
      </c>
      <c r="E25" s="78" t="s">
        <v>27</v>
      </c>
      <c r="F25" s="79" t="s">
        <v>11</v>
      </c>
      <c r="G25" s="78" t="s">
        <v>270</v>
      </c>
      <c r="H25" s="78" t="s">
        <v>5</v>
      </c>
      <c r="I25" s="80" t="s">
        <v>271</v>
      </c>
    </row>
    <row r="26" spans="1:9" ht="30" x14ac:dyDescent="0.25">
      <c r="A26" s="78" t="s">
        <v>178</v>
      </c>
      <c r="B26" s="79" t="s">
        <v>272</v>
      </c>
      <c r="C26" s="78" t="s">
        <v>273</v>
      </c>
      <c r="D26" s="79" t="s">
        <v>274</v>
      </c>
      <c r="E26" s="78" t="s">
        <v>27</v>
      </c>
      <c r="F26" s="79" t="s">
        <v>11</v>
      </c>
      <c r="G26" s="78" t="s">
        <v>196</v>
      </c>
      <c r="H26" s="78" t="s">
        <v>4</v>
      </c>
      <c r="I26" s="80" t="s">
        <v>275</v>
      </c>
    </row>
    <row r="27" spans="1:9" ht="45" x14ac:dyDescent="0.25">
      <c r="A27" s="78" t="s">
        <v>178</v>
      </c>
      <c r="B27" s="79" t="s">
        <v>276</v>
      </c>
      <c r="C27" s="78" t="s">
        <v>277</v>
      </c>
      <c r="D27" s="79" t="s">
        <v>278</v>
      </c>
      <c r="E27" s="78" t="s">
        <v>27</v>
      </c>
      <c r="F27" s="79" t="s">
        <v>11</v>
      </c>
      <c r="G27" s="78" t="s">
        <v>196</v>
      </c>
      <c r="H27" s="78" t="s">
        <v>3</v>
      </c>
      <c r="I27" s="80" t="s">
        <v>279</v>
      </c>
    </row>
    <row r="28" spans="1:9" ht="30" x14ac:dyDescent="0.25">
      <c r="A28" s="78" t="s">
        <v>178</v>
      </c>
      <c r="B28" s="79" t="s">
        <v>280</v>
      </c>
      <c r="C28" s="78" t="s">
        <v>281</v>
      </c>
      <c r="D28" s="79" t="s">
        <v>282</v>
      </c>
      <c r="E28" s="78" t="s">
        <v>27</v>
      </c>
      <c r="F28" s="79" t="s">
        <v>11</v>
      </c>
      <c r="G28" s="78" t="s">
        <v>196</v>
      </c>
      <c r="H28" s="78" t="s">
        <v>3</v>
      </c>
      <c r="I28" s="80" t="s">
        <v>185</v>
      </c>
    </row>
    <row r="29" spans="1:9" ht="30" x14ac:dyDescent="0.25">
      <c r="A29" s="78" t="s">
        <v>178</v>
      </c>
      <c r="B29" s="79" t="s">
        <v>283</v>
      </c>
      <c r="C29" s="78" t="s">
        <v>284</v>
      </c>
      <c r="D29" s="79" t="s">
        <v>285</v>
      </c>
      <c r="E29" s="78" t="s">
        <v>26</v>
      </c>
      <c r="F29" s="79" t="s">
        <v>15</v>
      </c>
      <c r="G29" s="78" t="s">
        <v>184</v>
      </c>
      <c r="H29" s="78" t="s">
        <v>4</v>
      </c>
      <c r="I29" s="59" t="s">
        <v>185</v>
      </c>
    </row>
    <row r="30" spans="1:9" ht="30" x14ac:dyDescent="0.25">
      <c r="A30" s="78" t="s">
        <v>178</v>
      </c>
      <c r="B30" s="79" t="s">
        <v>286</v>
      </c>
      <c r="C30" s="78" t="s">
        <v>287</v>
      </c>
      <c r="D30" s="79" t="s">
        <v>288</v>
      </c>
      <c r="E30" s="78" t="s">
        <v>27</v>
      </c>
      <c r="F30" s="79" t="s">
        <v>11</v>
      </c>
      <c r="G30" s="78" t="s">
        <v>196</v>
      </c>
      <c r="H30" s="78" t="s">
        <v>169</v>
      </c>
      <c r="I30" s="80" t="s">
        <v>289</v>
      </c>
    </row>
    <row r="31" spans="1:9" ht="45" x14ac:dyDescent="0.25">
      <c r="A31" s="78" t="s">
        <v>178</v>
      </c>
      <c r="B31" s="79" t="s">
        <v>290</v>
      </c>
      <c r="C31" s="78" t="s">
        <v>291</v>
      </c>
      <c r="D31" s="79" t="s">
        <v>292</v>
      </c>
      <c r="E31" s="78" t="s">
        <v>27</v>
      </c>
      <c r="F31" s="79" t="s">
        <v>11</v>
      </c>
      <c r="G31" s="78" t="s">
        <v>270</v>
      </c>
      <c r="H31" s="78" t="s">
        <v>5</v>
      </c>
      <c r="I31" s="80" t="s">
        <v>293</v>
      </c>
    </row>
    <row r="32" spans="1:9" ht="45" x14ac:dyDescent="0.25">
      <c r="A32" s="78" t="s">
        <v>178</v>
      </c>
      <c r="B32" s="79" t="s">
        <v>294</v>
      </c>
      <c r="C32" s="78" t="s">
        <v>295</v>
      </c>
      <c r="D32" s="79" t="s">
        <v>296</v>
      </c>
      <c r="E32" s="78" t="s">
        <v>27</v>
      </c>
      <c r="F32" s="79" t="s">
        <v>183</v>
      </c>
      <c r="G32" s="78" t="s">
        <v>184</v>
      </c>
      <c r="H32" s="78" t="s">
        <v>3</v>
      </c>
      <c r="I32" s="59" t="s">
        <v>185</v>
      </c>
    </row>
    <row r="33" spans="1:9" ht="30" x14ac:dyDescent="0.25">
      <c r="A33" s="78" t="s">
        <v>178</v>
      </c>
      <c r="B33" s="79" t="s">
        <v>297</v>
      </c>
      <c r="C33" s="78" t="s">
        <v>298</v>
      </c>
      <c r="D33" s="79" t="s">
        <v>299</v>
      </c>
      <c r="E33" s="78" t="s">
        <v>27</v>
      </c>
      <c r="F33" s="79" t="s">
        <v>183</v>
      </c>
      <c r="G33" s="78" t="s">
        <v>184</v>
      </c>
      <c r="H33" s="78" t="s">
        <v>3</v>
      </c>
      <c r="I33" s="59" t="s">
        <v>185</v>
      </c>
    </row>
    <row r="34" spans="1:9" ht="45" x14ac:dyDescent="0.25">
      <c r="A34" s="78" t="s">
        <v>178</v>
      </c>
      <c r="B34" s="79" t="s">
        <v>300</v>
      </c>
      <c r="C34" s="78" t="s">
        <v>301</v>
      </c>
      <c r="D34" s="79" t="s">
        <v>302</v>
      </c>
      <c r="E34" s="78" t="s">
        <v>27</v>
      </c>
      <c r="F34" s="79" t="s">
        <v>11</v>
      </c>
      <c r="G34" s="78" t="s">
        <v>196</v>
      </c>
      <c r="H34" s="78" t="s">
        <v>3</v>
      </c>
      <c r="I34" s="80" t="s">
        <v>185</v>
      </c>
    </row>
    <row r="35" spans="1:9" ht="45" x14ac:dyDescent="0.25">
      <c r="A35" s="78" t="s">
        <v>178</v>
      </c>
      <c r="B35" s="79" t="s">
        <v>303</v>
      </c>
      <c r="C35" s="78" t="s">
        <v>304</v>
      </c>
      <c r="D35" s="79" t="s">
        <v>305</v>
      </c>
      <c r="E35" s="78" t="s">
        <v>27</v>
      </c>
      <c r="F35" s="79" t="s">
        <v>11</v>
      </c>
      <c r="G35" s="78" t="s">
        <v>184</v>
      </c>
      <c r="H35" s="78" t="s">
        <v>3</v>
      </c>
      <c r="I35" s="59" t="s">
        <v>306</v>
      </c>
    </row>
    <row r="36" spans="1:9" ht="45" x14ac:dyDescent="0.25">
      <c r="A36" s="78" t="s">
        <v>178</v>
      </c>
      <c r="B36" s="79" t="s">
        <v>307</v>
      </c>
      <c r="C36" s="78" t="s">
        <v>308</v>
      </c>
      <c r="D36" s="79" t="s">
        <v>309</v>
      </c>
      <c r="E36" s="78" t="s">
        <v>27</v>
      </c>
      <c r="F36" s="79" t="s">
        <v>11</v>
      </c>
      <c r="G36" s="78" t="s">
        <v>196</v>
      </c>
      <c r="H36" s="78" t="s">
        <v>3</v>
      </c>
      <c r="I36" s="59" t="s">
        <v>306</v>
      </c>
    </row>
    <row r="37" spans="1:9" ht="45" x14ac:dyDescent="0.25">
      <c r="A37" s="78" t="s">
        <v>178</v>
      </c>
      <c r="B37" s="79" t="s">
        <v>310</v>
      </c>
      <c r="C37" s="78" t="s">
        <v>311</v>
      </c>
      <c r="D37" s="79" t="s">
        <v>312</v>
      </c>
      <c r="E37" s="78" t="s">
        <v>27</v>
      </c>
      <c r="F37" s="79" t="s">
        <v>11</v>
      </c>
      <c r="G37" s="78" t="s">
        <v>239</v>
      </c>
      <c r="H37" s="78" t="s">
        <v>5</v>
      </c>
      <c r="I37" s="59" t="s">
        <v>279</v>
      </c>
    </row>
    <row r="38" spans="1:9" ht="30" x14ac:dyDescent="0.25">
      <c r="A38" s="78" t="s">
        <v>178</v>
      </c>
      <c r="B38" s="79" t="s">
        <v>313</v>
      </c>
      <c r="C38" s="78" t="s">
        <v>314</v>
      </c>
      <c r="D38" s="79" t="s">
        <v>315</v>
      </c>
      <c r="E38" s="78" t="s">
        <v>182</v>
      </c>
      <c r="F38" s="79" t="s">
        <v>11</v>
      </c>
      <c r="G38" s="78" t="s">
        <v>270</v>
      </c>
      <c r="H38" s="78" t="s">
        <v>169</v>
      </c>
      <c r="I38" s="80" t="s">
        <v>316</v>
      </c>
    </row>
    <row r="39" spans="1:9" ht="45" x14ac:dyDescent="0.25">
      <c r="A39" s="78" t="s">
        <v>178</v>
      </c>
      <c r="B39" s="79" t="s">
        <v>317</v>
      </c>
      <c r="C39" s="78" t="s">
        <v>318</v>
      </c>
      <c r="D39" s="79" t="s">
        <v>319</v>
      </c>
      <c r="E39" s="78" t="s">
        <v>27</v>
      </c>
      <c r="F39" s="79" t="s">
        <v>11</v>
      </c>
      <c r="G39" s="78" t="s">
        <v>270</v>
      </c>
      <c r="H39" s="78" t="s">
        <v>169</v>
      </c>
      <c r="I39" s="80" t="s">
        <v>320</v>
      </c>
    </row>
    <row r="40" spans="1:9" ht="30" x14ac:dyDescent="0.25">
      <c r="A40" s="78" t="s">
        <v>178</v>
      </c>
      <c r="B40" s="79" t="s">
        <v>321</v>
      </c>
      <c r="C40" s="78" t="s">
        <v>322</v>
      </c>
      <c r="D40" s="79" t="s">
        <v>323</v>
      </c>
      <c r="E40" s="78" t="s">
        <v>182</v>
      </c>
      <c r="F40" s="79" t="s">
        <v>11</v>
      </c>
      <c r="G40" s="78" t="s">
        <v>196</v>
      </c>
      <c r="H40" s="78" t="s">
        <v>170</v>
      </c>
      <c r="I40" s="80" t="s">
        <v>185</v>
      </c>
    </row>
    <row r="41" spans="1:9" ht="30" x14ac:dyDescent="0.25">
      <c r="A41" s="78" t="s">
        <v>178</v>
      </c>
      <c r="B41" s="79" t="s">
        <v>324</v>
      </c>
      <c r="C41" s="78" t="s">
        <v>325</v>
      </c>
      <c r="D41" s="79" t="s">
        <v>326</v>
      </c>
      <c r="E41" s="78" t="s">
        <v>182</v>
      </c>
      <c r="F41" s="79" t="s">
        <v>17</v>
      </c>
      <c r="G41" s="78" t="s">
        <v>239</v>
      </c>
      <c r="H41" s="78" t="s">
        <v>170</v>
      </c>
      <c r="I41" s="59" t="s">
        <v>185</v>
      </c>
    </row>
    <row r="42" spans="1:9" ht="45" x14ac:dyDescent="0.25">
      <c r="A42" s="78" t="s">
        <v>178</v>
      </c>
      <c r="B42" s="79" t="s">
        <v>327</v>
      </c>
      <c r="C42" s="78" t="s">
        <v>328</v>
      </c>
      <c r="D42" s="79" t="s">
        <v>329</v>
      </c>
      <c r="E42" s="78" t="s">
        <v>27</v>
      </c>
      <c r="F42" s="79" t="s">
        <v>183</v>
      </c>
      <c r="G42" s="78" t="s">
        <v>184</v>
      </c>
      <c r="H42" s="78" t="s">
        <v>3</v>
      </c>
      <c r="I42" s="59" t="s">
        <v>330</v>
      </c>
    </row>
    <row r="43" spans="1:9" ht="45" x14ac:dyDescent="0.25">
      <c r="A43" s="78" t="s">
        <v>178</v>
      </c>
      <c r="B43" s="79" t="s">
        <v>331</v>
      </c>
      <c r="C43" s="78" t="s">
        <v>332</v>
      </c>
      <c r="D43" s="79" t="s">
        <v>333</v>
      </c>
      <c r="E43" s="78" t="s">
        <v>27</v>
      </c>
      <c r="F43" s="79" t="s">
        <v>183</v>
      </c>
      <c r="G43" s="78" t="s">
        <v>184</v>
      </c>
      <c r="H43" s="78" t="s">
        <v>3</v>
      </c>
      <c r="I43" s="59" t="s">
        <v>330</v>
      </c>
    </row>
    <row r="44" spans="1:9" ht="30" x14ac:dyDescent="0.25">
      <c r="A44" s="78" t="s">
        <v>178</v>
      </c>
      <c r="B44" s="79" t="s">
        <v>334</v>
      </c>
      <c r="C44" s="78" t="s">
        <v>335</v>
      </c>
      <c r="D44" s="79" t="s">
        <v>336</v>
      </c>
      <c r="E44" s="78" t="s">
        <v>27</v>
      </c>
      <c r="F44" s="79" t="s">
        <v>11</v>
      </c>
      <c r="G44" s="78" t="s">
        <v>196</v>
      </c>
      <c r="H44" s="78" t="s">
        <v>3</v>
      </c>
      <c r="I44" s="80" t="s">
        <v>185</v>
      </c>
    </row>
    <row r="45" spans="1:9" ht="45" x14ac:dyDescent="0.25">
      <c r="A45" s="78" t="s">
        <v>178</v>
      </c>
      <c r="B45" s="79" t="s">
        <v>337</v>
      </c>
      <c r="C45" s="78" t="s">
        <v>338</v>
      </c>
      <c r="D45" s="79" t="s">
        <v>339</v>
      </c>
      <c r="E45" s="78" t="s">
        <v>27</v>
      </c>
      <c r="F45" s="79" t="s">
        <v>11</v>
      </c>
      <c r="G45" s="78" t="s">
        <v>196</v>
      </c>
      <c r="H45" s="78" t="s">
        <v>169</v>
      </c>
      <c r="I45" s="80" t="s">
        <v>340</v>
      </c>
    </row>
    <row r="46" spans="1:9" ht="45" x14ac:dyDescent="0.25">
      <c r="A46" s="78" t="s">
        <v>178</v>
      </c>
      <c r="B46" s="79" t="s">
        <v>341</v>
      </c>
      <c r="C46" s="78" t="s">
        <v>342</v>
      </c>
      <c r="D46" s="79" t="s">
        <v>343</v>
      </c>
      <c r="E46" s="78" t="s">
        <v>27</v>
      </c>
      <c r="F46" s="79" t="s">
        <v>11</v>
      </c>
      <c r="G46" s="78" t="s">
        <v>196</v>
      </c>
      <c r="H46" s="78" t="s">
        <v>3</v>
      </c>
      <c r="I46" s="80" t="s">
        <v>279</v>
      </c>
    </row>
    <row r="47" spans="1:9" ht="45" x14ac:dyDescent="0.25">
      <c r="A47" s="78" t="s">
        <v>178</v>
      </c>
      <c r="B47" s="79" t="s">
        <v>344</v>
      </c>
      <c r="C47" s="78" t="s">
        <v>242</v>
      </c>
      <c r="D47" s="79" t="s">
        <v>243</v>
      </c>
      <c r="E47" s="78" t="s">
        <v>27</v>
      </c>
      <c r="F47" s="79" t="s">
        <v>11</v>
      </c>
      <c r="G47" s="78" t="s">
        <v>196</v>
      </c>
      <c r="H47" s="78" t="s">
        <v>170</v>
      </c>
      <c r="I47" s="80" t="s">
        <v>185</v>
      </c>
    </row>
    <row r="48" spans="1:9" ht="45" x14ac:dyDescent="0.25">
      <c r="A48" s="78" t="s">
        <v>178</v>
      </c>
      <c r="B48" s="79" t="s">
        <v>345</v>
      </c>
      <c r="C48" s="78" t="s">
        <v>242</v>
      </c>
      <c r="D48" s="79" t="s">
        <v>243</v>
      </c>
      <c r="E48" s="78" t="s">
        <v>27</v>
      </c>
      <c r="F48" s="79" t="s">
        <v>11</v>
      </c>
      <c r="G48" s="78" t="s">
        <v>196</v>
      </c>
      <c r="H48" s="78" t="s">
        <v>169</v>
      </c>
      <c r="I48" s="80" t="s">
        <v>185</v>
      </c>
    </row>
    <row r="49" spans="1:9" ht="45" x14ac:dyDescent="0.25">
      <c r="A49" s="78" t="s">
        <v>178</v>
      </c>
      <c r="B49" s="79" t="s">
        <v>346</v>
      </c>
      <c r="C49" s="78" t="s">
        <v>347</v>
      </c>
      <c r="D49" s="79" t="s">
        <v>348</v>
      </c>
      <c r="E49" s="78" t="s">
        <v>27</v>
      </c>
      <c r="F49" s="79" t="s">
        <v>23</v>
      </c>
      <c r="G49" s="78" t="s">
        <v>196</v>
      </c>
      <c r="H49" s="78" t="s">
        <v>169</v>
      </c>
      <c r="I49" s="80" t="s">
        <v>185</v>
      </c>
    </row>
    <row r="50" spans="1:9" ht="45" x14ac:dyDescent="0.25">
      <c r="A50" s="78" t="s">
        <v>178</v>
      </c>
      <c r="B50" s="79" t="s">
        <v>349</v>
      </c>
      <c r="C50" s="78" t="s">
        <v>350</v>
      </c>
      <c r="D50" s="79" t="s">
        <v>351</v>
      </c>
      <c r="E50" s="78" t="s">
        <v>27</v>
      </c>
      <c r="F50" s="79" t="s">
        <v>11</v>
      </c>
      <c r="G50" s="78" t="s">
        <v>196</v>
      </c>
      <c r="H50" s="78" t="s">
        <v>169</v>
      </c>
      <c r="I50" s="80" t="s">
        <v>185</v>
      </c>
    </row>
    <row r="51" spans="1:9" ht="45" x14ac:dyDescent="0.25">
      <c r="A51" s="78" t="s">
        <v>178</v>
      </c>
      <c r="B51" s="79" t="s">
        <v>352</v>
      </c>
      <c r="C51" s="78" t="s">
        <v>242</v>
      </c>
      <c r="D51" s="79" t="s">
        <v>243</v>
      </c>
      <c r="E51" s="78" t="s">
        <v>27</v>
      </c>
      <c r="F51" s="79" t="s">
        <v>11</v>
      </c>
      <c r="G51" s="78" t="s">
        <v>196</v>
      </c>
      <c r="H51" s="78" t="s">
        <v>169</v>
      </c>
      <c r="I51" s="80" t="s">
        <v>185</v>
      </c>
    </row>
    <row r="52" spans="1:9" ht="45" x14ac:dyDescent="0.25">
      <c r="A52" s="78" t="s">
        <v>178</v>
      </c>
      <c r="B52" s="79" t="s">
        <v>353</v>
      </c>
      <c r="C52" s="78" t="s">
        <v>304</v>
      </c>
      <c r="D52" s="79" t="s">
        <v>305</v>
      </c>
      <c r="E52" s="78" t="s">
        <v>27</v>
      </c>
      <c r="F52" s="79" t="s">
        <v>183</v>
      </c>
      <c r="G52" s="78" t="s">
        <v>184</v>
      </c>
      <c r="H52" s="78" t="s">
        <v>3</v>
      </c>
      <c r="I52" s="59" t="s">
        <v>185</v>
      </c>
    </row>
    <row r="53" spans="1:9" ht="30" x14ac:dyDescent="0.25">
      <c r="A53" s="78" t="s">
        <v>178</v>
      </c>
      <c r="B53" s="79" t="s">
        <v>354</v>
      </c>
      <c r="C53" s="78" t="s">
        <v>355</v>
      </c>
      <c r="D53" s="79" t="s">
        <v>356</v>
      </c>
      <c r="E53" s="78" t="s">
        <v>182</v>
      </c>
      <c r="F53" s="79" t="s">
        <v>183</v>
      </c>
      <c r="G53" s="78" t="s">
        <v>184</v>
      </c>
      <c r="H53" s="89" t="s">
        <v>3</v>
      </c>
      <c r="I53" s="59" t="s">
        <v>185</v>
      </c>
    </row>
    <row r="54" spans="1:9" ht="30" x14ac:dyDescent="0.25">
      <c r="A54" s="78" t="s">
        <v>178</v>
      </c>
      <c r="B54" s="79" t="s">
        <v>357</v>
      </c>
      <c r="C54" s="78" t="s">
        <v>358</v>
      </c>
      <c r="D54" s="79" t="s">
        <v>359</v>
      </c>
      <c r="E54" s="78" t="s">
        <v>27</v>
      </c>
      <c r="F54" s="79" t="s">
        <v>183</v>
      </c>
      <c r="G54" s="78" t="s">
        <v>184</v>
      </c>
      <c r="H54" s="78" t="s">
        <v>3</v>
      </c>
      <c r="I54" s="59" t="s">
        <v>185</v>
      </c>
    </row>
    <row r="55" spans="1:9" ht="30" x14ac:dyDescent="0.25">
      <c r="A55" s="78" t="s">
        <v>178</v>
      </c>
      <c r="B55" s="79" t="s">
        <v>360</v>
      </c>
      <c r="C55" s="78" t="s">
        <v>335</v>
      </c>
      <c r="D55" s="79" t="s">
        <v>336</v>
      </c>
      <c r="E55" s="78" t="s">
        <v>27</v>
      </c>
      <c r="F55" s="79" t="s">
        <v>11</v>
      </c>
      <c r="G55" s="78" t="s">
        <v>196</v>
      </c>
      <c r="H55" s="78" t="s">
        <v>3</v>
      </c>
      <c r="I55" s="80" t="s">
        <v>185</v>
      </c>
    </row>
    <row r="56" spans="1:9" ht="45" x14ac:dyDescent="0.25">
      <c r="A56" s="78" t="s">
        <v>178</v>
      </c>
      <c r="B56" s="79" t="s">
        <v>361</v>
      </c>
      <c r="C56" s="78" t="s">
        <v>362</v>
      </c>
      <c r="D56" s="79" t="s">
        <v>363</v>
      </c>
      <c r="E56" s="78" t="s">
        <v>27</v>
      </c>
      <c r="F56" s="79" t="s">
        <v>17</v>
      </c>
      <c r="G56" s="78" t="s">
        <v>239</v>
      </c>
      <c r="H56" s="78" t="s">
        <v>4</v>
      </c>
      <c r="I56" s="59" t="s">
        <v>364</v>
      </c>
    </row>
    <row r="57" spans="1:9" ht="30" x14ac:dyDescent="0.25">
      <c r="A57" s="78" t="s">
        <v>178</v>
      </c>
      <c r="B57" s="79" t="s">
        <v>365</v>
      </c>
      <c r="C57" s="78" t="s">
        <v>366</v>
      </c>
      <c r="D57" s="79" t="s">
        <v>367</v>
      </c>
      <c r="E57" s="78" t="s">
        <v>182</v>
      </c>
      <c r="F57" s="79" t="s">
        <v>11</v>
      </c>
      <c r="G57" s="78" t="s">
        <v>196</v>
      </c>
      <c r="H57" s="78" t="s">
        <v>3</v>
      </c>
      <c r="I57" s="80" t="s">
        <v>368</v>
      </c>
    </row>
    <row r="58" spans="1:9" ht="45" x14ac:dyDescent="0.25">
      <c r="A58" s="78" t="s">
        <v>178</v>
      </c>
      <c r="B58" s="79" t="s">
        <v>369</v>
      </c>
      <c r="C58" s="78" t="s">
        <v>370</v>
      </c>
      <c r="D58" s="79" t="s">
        <v>371</v>
      </c>
      <c r="E58" s="78" t="s">
        <v>27</v>
      </c>
      <c r="F58" s="79" t="s">
        <v>11</v>
      </c>
      <c r="G58" s="78" t="s">
        <v>196</v>
      </c>
      <c r="H58" s="78" t="s">
        <v>3</v>
      </c>
      <c r="I58" s="80" t="s">
        <v>372</v>
      </c>
    </row>
    <row r="59" spans="1:9" ht="45" x14ac:dyDescent="0.25">
      <c r="A59" s="78" t="s">
        <v>178</v>
      </c>
      <c r="B59" s="79" t="s">
        <v>373</v>
      </c>
      <c r="C59" s="78" t="s">
        <v>374</v>
      </c>
      <c r="D59" s="79" t="s">
        <v>375</v>
      </c>
      <c r="E59" s="78" t="s">
        <v>27</v>
      </c>
      <c r="F59" s="79" t="s">
        <v>11</v>
      </c>
      <c r="G59" s="78" t="s">
        <v>196</v>
      </c>
      <c r="H59" s="78" t="s">
        <v>3</v>
      </c>
      <c r="I59" s="80" t="s">
        <v>185</v>
      </c>
    </row>
    <row r="60" spans="1:9" ht="30" x14ac:dyDescent="0.25">
      <c r="A60" s="78" t="s">
        <v>178</v>
      </c>
      <c r="B60" s="79" t="s">
        <v>376</v>
      </c>
      <c r="C60" s="78" t="s">
        <v>377</v>
      </c>
      <c r="D60" s="79" t="s">
        <v>378</v>
      </c>
      <c r="E60" s="78" t="s">
        <v>182</v>
      </c>
      <c r="F60" s="79" t="s">
        <v>12</v>
      </c>
      <c r="G60" s="78" t="s">
        <v>217</v>
      </c>
      <c r="H60" s="78" t="s">
        <v>170</v>
      </c>
      <c r="I60" s="80" t="s">
        <v>185</v>
      </c>
    </row>
    <row r="61" spans="1:9" ht="30" x14ac:dyDescent="0.25">
      <c r="A61" s="78" t="s">
        <v>178</v>
      </c>
      <c r="B61" s="79" t="s">
        <v>379</v>
      </c>
      <c r="C61" s="78" t="s">
        <v>380</v>
      </c>
      <c r="D61" s="79" t="s">
        <v>381</v>
      </c>
      <c r="E61" s="78" t="s">
        <v>27</v>
      </c>
      <c r="F61" s="79" t="s">
        <v>11</v>
      </c>
      <c r="G61" s="78" t="s">
        <v>196</v>
      </c>
      <c r="H61" s="78" t="s">
        <v>170</v>
      </c>
      <c r="I61" s="80" t="s">
        <v>185</v>
      </c>
    </row>
    <row r="62" spans="1:9" ht="45" x14ac:dyDescent="0.25">
      <c r="A62" s="78" t="s">
        <v>178</v>
      </c>
      <c r="B62" s="79" t="s">
        <v>382</v>
      </c>
      <c r="C62" s="78" t="s">
        <v>242</v>
      </c>
      <c r="D62" s="79" t="s">
        <v>243</v>
      </c>
      <c r="E62" s="78" t="s">
        <v>27</v>
      </c>
      <c r="F62" s="79" t="s">
        <v>11</v>
      </c>
      <c r="G62" s="78" t="s">
        <v>196</v>
      </c>
      <c r="H62" s="78" t="s">
        <v>170</v>
      </c>
      <c r="I62" s="80" t="s">
        <v>185</v>
      </c>
    </row>
    <row r="64" spans="1:9" x14ac:dyDescent="0.25">
      <c r="E64" s="70" t="s">
        <v>175</v>
      </c>
      <c r="F64" s="71" t="s">
        <v>9</v>
      </c>
      <c r="G64" s="72" t="s">
        <v>4</v>
      </c>
      <c r="H64" s="70" t="s">
        <v>3</v>
      </c>
    </row>
    <row r="65" spans="1:8" x14ac:dyDescent="0.25">
      <c r="A65" s="42" t="s">
        <v>383</v>
      </c>
      <c r="B65" s="39">
        <v>61</v>
      </c>
      <c r="E65" s="67" t="s">
        <v>182</v>
      </c>
      <c r="F65">
        <v>12</v>
      </c>
      <c r="G65">
        <v>3</v>
      </c>
      <c r="H65">
        <f>F65-G65</f>
        <v>9</v>
      </c>
    </row>
    <row r="66" spans="1:8" x14ac:dyDescent="0.25">
      <c r="A66" s="43" t="s">
        <v>3</v>
      </c>
      <c r="B66" s="40">
        <f>B65-B67</f>
        <v>35</v>
      </c>
      <c r="E66" s="68" t="s">
        <v>26</v>
      </c>
      <c r="F66">
        <v>2</v>
      </c>
      <c r="G66">
        <v>1</v>
      </c>
      <c r="H66">
        <f t="shared" ref="H66:H67" si="0">F66-G66</f>
        <v>1</v>
      </c>
    </row>
    <row r="67" spans="1:8" x14ac:dyDescent="0.25">
      <c r="A67" s="44" t="s">
        <v>4</v>
      </c>
      <c r="B67" s="41">
        <v>26</v>
      </c>
      <c r="E67" s="69" t="s">
        <v>27</v>
      </c>
      <c r="F67">
        <v>47</v>
      </c>
      <c r="G67">
        <v>22</v>
      </c>
      <c r="H67">
        <f t="shared" si="0"/>
        <v>25</v>
      </c>
    </row>
    <row r="68" spans="1:8" x14ac:dyDescent="0.25">
      <c r="A68" s="45" t="s">
        <v>384</v>
      </c>
      <c r="B68" s="88">
        <v>11</v>
      </c>
    </row>
  </sheetData>
  <autoFilter ref="A1:I62" xr:uid="{56B0C30D-0E3D-4FFB-A878-9830AE9CD2FC}"/>
  <conditionalFormatting sqref="H2:H52 H54:H62 H64">
    <cfRule type="containsText" dxfId="12" priority="1" operator="containsText" text="In-Progress">
      <formula>NOT(ISERROR(SEARCH("In-Progress",H2)))</formula>
    </cfRule>
    <cfRule type="containsText" dxfId="11" priority="2" operator="containsText" text="Closed">
      <formula>NOT(ISERROR(SEARCH("Closed",H2)))</formula>
    </cfRule>
    <cfRule type="containsText" dxfId="10" priority="3" operator="containsText" text="Open">
      <formula>NOT(ISERROR(SEARCH("Open",H2)))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1283F-346C-4129-8AE6-44A92F546281}">
  <sheetPr filterMode="1">
    <tabColor theme="8"/>
  </sheetPr>
  <dimension ref="A1:I43"/>
  <sheetViews>
    <sheetView topLeftCell="A3" zoomScale="110" zoomScaleNormal="110" workbookViewId="0">
      <selection activeCell="B43" sqref="B43"/>
    </sheetView>
  </sheetViews>
  <sheetFormatPr defaultRowHeight="15" x14ac:dyDescent="0.25"/>
  <cols>
    <col min="1" max="1" width="14.140625" bestFit="1" customWidth="1"/>
    <col min="2" max="2" width="52" style="1" customWidth="1"/>
    <col min="3" max="3" width="43" bestFit="1" customWidth="1"/>
    <col min="4" max="4" width="41.85546875" style="1" customWidth="1"/>
    <col min="5" max="5" width="12.85546875" customWidth="1"/>
    <col min="6" max="6" width="15.140625" customWidth="1"/>
    <col min="7" max="7" width="10.5703125" customWidth="1"/>
    <col min="8" max="8" width="10.42578125" customWidth="1"/>
    <col min="9" max="9" width="24.28515625" style="1" customWidth="1"/>
  </cols>
  <sheetData>
    <row r="1" spans="1:9" x14ac:dyDescent="0.25">
      <c r="A1" s="81" t="s">
        <v>171</v>
      </c>
      <c r="B1" s="82" t="s">
        <v>172</v>
      </c>
      <c r="C1" s="81" t="s">
        <v>173</v>
      </c>
      <c r="D1" s="82" t="s">
        <v>174</v>
      </c>
      <c r="E1" s="81" t="s">
        <v>175</v>
      </c>
      <c r="F1" s="81" t="s">
        <v>176</v>
      </c>
      <c r="G1" s="81" t="s">
        <v>8</v>
      </c>
      <c r="H1" s="81" t="s">
        <v>54</v>
      </c>
      <c r="I1" s="82" t="s">
        <v>177</v>
      </c>
    </row>
    <row r="2" spans="1:9" ht="30" hidden="1" x14ac:dyDescent="0.25">
      <c r="A2" s="83" t="s">
        <v>385</v>
      </c>
      <c r="B2" s="84" t="s">
        <v>386</v>
      </c>
      <c r="C2" s="83" t="s">
        <v>387</v>
      </c>
      <c r="D2" s="84" t="s">
        <v>388</v>
      </c>
      <c r="E2" s="83" t="s">
        <v>26</v>
      </c>
      <c r="F2" s="84" t="s">
        <v>12</v>
      </c>
      <c r="G2" s="83" t="s">
        <v>389</v>
      </c>
      <c r="H2" s="83" t="s">
        <v>169</v>
      </c>
      <c r="I2" s="84" t="s">
        <v>390</v>
      </c>
    </row>
    <row r="3" spans="1:9" ht="75" x14ac:dyDescent="0.25">
      <c r="A3" s="83" t="s">
        <v>385</v>
      </c>
      <c r="B3" s="84" t="s">
        <v>391</v>
      </c>
      <c r="C3" s="83" t="s">
        <v>392</v>
      </c>
      <c r="D3" s="84" t="s">
        <v>393</v>
      </c>
      <c r="E3" s="83" t="s">
        <v>182</v>
      </c>
      <c r="F3" s="84" t="s">
        <v>12</v>
      </c>
      <c r="G3" s="83" t="s">
        <v>389</v>
      </c>
      <c r="H3" s="83" t="s">
        <v>5</v>
      </c>
      <c r="I3" s="90" t="s">
        <v>394</v>
      </c>
    </row>
    <row r="4" spans="1:9" ht="60" hidden="1" x14ac:dyDescent="0.25">
      <c r="A4" s="83" t="s">
        <v>385</v>
      </c>
      <c r="B4" s="84" t="s">
        <v>395</v>
      </c>
      <c r="C4" s="83" t="s">
        <v>396</v>
      </c>
      <c r="D4" s="84" t="s">
        <v>397</v>
      </c>
      <c r="E4" s="83" t="s">
        <v>182</v>
      </c>
      <c r="F4" s="84" t="s">
        <v>11</v>
      </c>
      <c r="G4" s="83" t="s">
        <v>196</v>
      </c>
      <c r="H4" s="83" t="s">
        <v>169</v>
      </c>
      <c r="I4" s="84" t="s">
        <v>398</v>
      </c>
    </row>
    <row r="5" spans="1:9" ht="60" hidden="1" x14ac:dyDescent="0.25">
      <c r="A5" s="83" t="s">
        <v>385</v>
      </c>
      <c r="B5" s="84" t="s">
        <v>399</v>
      </c>
      <c r="C5" s="83" t="s">
        <v>400</v>
      </c>
      <c r="D5" s="84" t="s">
        <v>401</v>
      </c>
      <c r="E5" s="83" t="s">
        <v>182</v>
      </c>
      <c r="F5" s="84" t="s">
        <v>11</v>
      </c>
      <c r="G5" s="83" t="s">
        <v>196</v>
      </c>
      <c r="H5" s="83" t="s">
        <v>169</v>
      </c>
      <c r="I5" s="84" t="s">
        <v>402</v>
      </c>
    </row>
    <row r="6" spans="1:9" ht="30" hidden="1" x14ac:dyDescent="0.25">
      <c r="A6" s="83" t="s">
        <v>385</v>
      </c>
      <c r="B6" s="84" t="s">
        <v>403</v>
      </c>
      <c r="C6" s="83" t="s">
        <v>404</v>
      </c>
      <c r="D6" s="84" t="s">
        <v>405</v>
      </c>
      <c r="E6" s="83" t="s">
        <v>26</v>
      </c>
      <c r="F6" s="84" t="s">
        <v>19</v>
      </c>
      <c r="G6" s="83" t="s">
        <v>406</v>
      </c>
      <c r="H6" s="83" t="s">
        <v>169</v>
      </c>
      <c r="I6" s="84" t="s">
        <v>390</v>
      </c>
    </row>
    <row r="7" spans="1:9" ht="75" hidden="1" x14ac:dyDescent="0.25">
      <c r="A7" s="83" t="s">
        <v>385</v>
      </c>
      <c r="B7" s="84" t="s">
        <v>407</v>
      </c>
      <c r="C7" s="83" t="s">
        <v>408</v>
      </c>
      <c r="D7" s="84" t="s">
        <v>409</v>
      </c>
      <c r="E7" s="83" t="s">
        <v>182</v>
      </c>
      <c r="F7" s="84" t="s">
        <v>11</v>
      </c>
      <c r="G7" s="83" t="s">
        <v>389</v>
      </c>
      <c r="H7" s="83" t="s">
        <v>4</v>
      </c>
      <c r="I7" s="84" t="s">
        <v>410</v>
      </c>
    </row>
    <row r="8" spans="1:9" ht="30" x14ac:dyDescent="0.25">
      <c r="A8" s="83" t="s">
        <v>385</v>
      </c>
      <c r="B8" s="84" t="s">
        <v>411</v>
      </c>
      <c r="C8" s="83" t="s">
        <v>408</v>
      </c>
      <c r="D8" s="84" t="s">
        <v>412</v>
      </c>
      <c r="E8" s="83" t="s">
        <v>26</v>
      </c>
      <c r="F8" s="84" t="s">
        <v>12</v>
      </c>
      <c r="G8" s="83" t="s">
        <v>389</v>
      </c>
      <c r="H8" s="83" t="s">
        <v>5</v>
      </c>
      <c r="I8" s="84" t="s">
        <v>413</v>
      </c>
    </row>
    <row r="9" spans="1:9" ht="120" hidden="1" x14ac:dyDescent="0.25">
      <c r="A9" s="83" t="s">
        <v>385</v>
      </c>
      <c r="B9" s="84" t="s">
        <v>414</v>
      </c>
      <c r="C9" s="83" t="s">
        <v>408</v>
      </c>
      <c r="D9" s="84" t="s">
        <v>415</v>
      </c>
      <c r="E9" s="83" t="s">
        <v>182</v>
      </c>
      <c r="F9" s="84" t="s">
        <v>11</v>
      </c>
      <c r="G9" s="83" t="s">
        <v>389</v>
      </c>
      <c r="H9" s="83" t="s">
        <v>169</v>
      </c>
      <c r="I9" s="84" t="s">
        <v>416</v>
      </c>
    </row>
    <row r="10" spans="1:9" ht="90" hidden="1" x14ac:dyDescent="0.25">
      <c r="A10" s="83" t="s">
        <v>385</v>
      </c>
      <c r="B10" s="84" t="s">
        <v>417</v>
      </c>
      <c r="C10" s="83" t="s">
        <v>408</v>
      </c>
      <c r="D10" s="84" t="s">
        <v>418</v>
      </c>
      <c r="E10" s="83" t="s">
        <v>182</v>
      </c>
      <c r="F10" s="84" t="s">
        <v>12</v>
      </c>
      <c r="G10" s="83" t="s">
        <v>389</v>
      </c>
      <c r="H10" s="83" t="s">
        <v>169</v>
      </c>
      <c r="I10" s="84" t="s">
        <v>419</v>
      </c>
    </row>
    <row r="11" spans="1:9" ht="90" hidden="1" x14ac:dyDescent="0.25">
      <c r="A11" s="83" t="s">
        <v>385</v>
      </c>
      <c r="B11" s="84" t="s">
        <v>420</v>
      </c>
      <c r="C11" s="83" t="s">
        <v>408</v>
      </c>
      <c r="D11" s="84" t="s">
        <v>421</v>
      </c>
      <c r="E11" s="83" t="s">
        <v>182</v>
      </c>
      <c r="F11" s="84" t="s">
        <v>11</v>
      </c>
      <c r="G11" s="83" t="s">
        <v>389</v>
      </c>
      <c r="H11" s="83" t="s">
        <v>169</v>
      </c>
      <c r="I11" s="84" t="s">
        <v>422</v>
      </c>
    </row>
    <row r="12" spans="1:9" ht="90" hidden="1" x14ac:dyDescent="0.25">
      <c r="A12" s="83" t="s">
        <v>385</v>
      </c>
      <c r="B12" s="84" t="s">
        <v>423</v>
      </c>
      <c r="C12" s="83" t="s">
        <v>408</v>
      </c>
      <c r="D12" s="84" t="s">
        <v>424</v>
      </c>
      <c r="E12" s="83" t="s">
        <v>26</v>
      </c>
      <c r="F12" s="84" t="s">
        <v>12</v>
      </c>
      <c r="G12" s="83" t="s">
        <v>389</v>
      </c>
      <c r="H12" s="83" t="s">
        <v>169</v>
      </c>
      <c r="I12" s="84" t="s">
        <v>425</v>
      </c>
    </row>
    <row r="13" spans="1:9" ht="105" hidden="1" x14ac:dyDescent="0.25">
      <c r="A13" s="83" t="s">
        <v>385</v>
      </c>
      <c r="B13" s="84" t="s">
        <v>426</v>
      </c>
      <c r="C13" s="83" t="s">
        <v>408</v>
      </c>
      <c r="D13" s="84" t="s">
        <v>427</v>
      </c>
      <c r="E13" s="83" t="s">
        <v>26</v>
      </c>
      <c r="F13" s="84" t="s">
        <v>15</v>
      </c>
      <c r="G13" s="83" t="s">
        <v>389</v>
      </c>
      <c r="H13" s="83" t="s">
        <v>4</v>
      </c>
      <c r="I13" s="84" t="s">
        <v>428</v>
      </c>
    </row>
    <row r="14" spans="1:9" ht="30" x14ac:dyDescent="0.25">
      <c r="A14" s="83" t="s">
        <v>385</v>
      </c>
      <c r="B14" s="84" t="s">
        <v>429</v>
      </c>
      <c r="C14" s="83" t="s">
        <v>430</v>
      </c>
      <c r="D14" s="84" t="s">
        <v>431</v>
      </c>
      <c r="E14" s="83" t="s">
        <v>27</v>
      </c>
      <c r="F14" s="84" t="s">
        <v>11</v>
      </c>
      <c r="G14" s="83" t="s">
        <v>389</v>
      </c>
      <c r="H14" s="83" t="s">
        <v>5</v>
      </c>
      <c r="I14" s="84" t="s">
        <v>432</v>
      </c>
    </row>
    <row r="15" spans="1:9" ht="75" hidden="1" x14ac:dyDescent="0.25">
      <c r="A15" s="83" t="s">
        <v>385</v>
      </c>
      <c r="B15" s="84" t="s">
        <v>433</v>
      </c>
      <c r="C15" s="83" t="s">
        <v>408</v>
      </c>
      <c r="D15" s="84" t="s">
        <v>434</v>
      </c>
      <c r="E15" s="83" t="s">
        <v>182</v>
      </c>
      <c r="F15" s="84" t="s">
        <v>11</v>
      </c>
      <c r="G15" s="83" t="s">
        <v>389</v>
      </c>
      <c r="H15" s="83" t="s">
        <v>169</v>
      </c>
      <c r="I15" s="84" t="s">
        <v>435</v>
      </c>
    </row>
    <row r="16" spans="1:9" ht="60" hidden="1" x14ac:dyDescent="0.25">
      <c r="A16" s="83" t="s">
        <v>385</v>
      </c>
      <c r="B16" s="84" t="s">
        <v>436</v>
      </c>
      <c r="C16" s="83" t="s">
        <v>437</v>
      </c>
      <c r="D16" s="84" t="s">
        <v>438</v>
      </c>
      <c r="E16" s="83" t="s">
        <v>26</v>
      </c>
      <c r="F16" s="84" t="s">
        <v>11</v>
      </c>
      <c r="G16" s="83" t="s">
        <v>389</v>
      </c>
      <c r="H16" s="83" t="s">
        <v>169</v>
      </c>
      <c r="I16" s="84" t="s">
        <v>439</v>
      </c>
    </row>
    <row r="17" spans="1:9" ht="30" hidden="1" x14ac:dyDescent="0.25">
      <c r="A17" s="83" t="s">
        <v>385</v>
      </c>
      <c r="B17" s="84" t="s">
        <v>440</v>
      </c>
      <c r="C17" s="83" t="s">
        <v>441</v>
      </c>
      <c r="D17" s="84" t="s">
        <v>442</v>
      </c>
      <c r="E17" s="83" t="s">
        <v>26</v>
      </c>
      <c r="F17" s="84" t="s">
        <v>183</v>
      </c>
      <c r="G17" s="83" t="s">
        <v>443</v>
      </c>
      <c r="H17" s="83" t="s">
        <v>169</v>
      </c>
      <c r="I17" s="91" t="s">
        <v>444</v>
      </c>
    </row>
    <row r="18" spans="1:9" ht="30" hidden="1" x14ac:dyDescent="0.25">
      <c r="A18" s="83" t="s">
        <v>385</v>
      </c>
      <c r="B18" s="84" t="s">
        <v>445</v>
      </c>
      <c r="C18" s="83" t="s">
        <v>446</v>
      </c>
      <c r="D18" s="84" t="s">
        <v>447</v>
      </c>
      <c r="E18" s="83" t="s">
        <v>182</v>
      </c>
      <c r="F18" s="84" t="s">
        <v>12</v>
      </c>
      <c r="G18" s="83" t="s">
        <v>448</v>
      </c>
      <c r="H18" s="83" t="s">
        <v>169</v>
      </c>
      <c r="I18" s="84" t="s">
        <v>390</v>
      </c>
    </row>
    <row r="19" spans="1:9" ht="105" hidden="1" x14ac:dyDescent="0.25">
      <c r="A19" s="83" t="s">
        <v>385</v>
      </c>
      <c r="B19" s="84" t="s">
        <v>449</v>
      </c>
      <c r="C19" s="83" t="s">
        <v>450</v>
      </c>
      <c r="D19" s="84" t="s">
        <v>451</v>
      </c>
      <c r="E19" s="83" t="s">
        <v>182</v>
      </c>
      <c r="F19" s="84" t="s">
        <v>183</v>
      </c>
      <c r="G19" s="83" t="s">
        <v>443</v>
      </c>
      <c r="H19" s="83" t="s">
        <v>169</v>
      </c>
      <c r="I19" s="91" t="s">
        <v>452</v>
      </c>
    </row>
    <row r="20" spans="1:9" ht="30" x14ac:dyDescent="0.25">
      <c r="A20" s="83" t="s">
        <v>385</v>
      </c>
      <c r="B20" s="84" t="s">
        <v>453</v>
      </c>
      <c r="C20" s="83" t="s">
        <v>454</v>
      </c>
      <c r="D20" s="84" t="s">
        <v>455</v>
      </c>
      <c r="E20" s="83" t="s">
        <v>182</v>
      </c>
      <c r="F20" s="84" t="s">
        <v>11</v>
      </c>
      <c r="G20" s="83" t="s">
        <v>389</v>
      </c>
      <c r="H20" s="83" t="s">
        <v>3</v>
      </c>
      <c r="I20" s="84" t="s">
        <v>390</v>
      </c>
    </row>
    <row r="21" spans="1:9" hidden="1" x14ac:dyDescent="0.25">
      <c r="A21" s="83" t="s">
        <v>385</v>
      </c>
      <c r="B21" s="84" t="s">
        <v>456</v>
      </c>
      <c r="C21" s="83" t="s">
        <v>457</v>
      </c>
      <c r="D21" s="84" t="s">
        <v>458</v>
      </c>
      <c r="E21" s="83" t="s">
        <v>182</v>
      </c>
      <c r="F21" s="84" t="s">
        <v>11</v>
      </c>
      <c r="G21" s="83" t="s">
        <v>389</v>
      </c>
      <c r="H21" s="83" t="s">
        <v>169</v>
      </c>
      <c r="I21" s="84" t="s">
        <v>390</v>
      </c>
    </row>
    <row r="22" spans="1:9" ht="45" hidden="1" x14ac:dyDescent="0.25">
      <c r="A22" s="83" t="s">
        <v>385</v>
      </c>
      <c r="B22" s="84" t="s">
        <v>459</v>
      </c>
      <c r="C22" s="83" t="s">
        <v>460</v>
      </c>
      <c r="D22" s="84" t="s">
        <v>461</v>
      </c>
      <c r="E22" s="83" t="s">
        <v>26</v>
      </c>
      <c r="F22" s="84" t="s">
        <v>183</v>
      </c>
      <c r="G22" s="83" t="s">
        <v>443</v>
      </c>
      <c r="H22" s="83" t="s">
        <v>169</v>
      </c>
      <c r="I22" s="91" t="s">
        <v>462</v>
      </c>
    </row>
    <row r="23" spans="1:9" ht="30" hidden="1" x14ac:dyDescent="0.25">
      <c r="A23" s="83" t="s">
        <v>385</v>
      </c>
      <c r="B23" s="84" t="s">
        <v>463</v>
      </c>
      <c r="C23" s="83" t="s">
        <v>464</v>
      </c>
      <c r="D23" s="84" t="s">
        <v>465</v>
      </c>
      <c r="E23" s="83" t="s">
        <v>26</v>
      </c>
      <c r="F23" s="84" t="s">
        <v>12</v>
      </c>
      <c r="G23" s="83"/>
      <c r="H23" s="83" t="s">
        <v>169</v>
      </c>
      <c r="I23" s="84" t="s">
        <v>390</v>
      </c>
    </row>
    <row r="24" spans="1:9" ht="30" x14ac:dyDescent="0.25">
      <c r="A24" s="83" t="s">
        <v>385</v>
      </c>
      <c r="B24" s="84" t="s">
        <v>466</v>
      </c>
      <c r="C24" s="83" t="s">
        <v>467</v>
      </c>
      <c r="D24" s="84" t="s">
        <v>468</v>
      </c>
      <c r="E24" s="83" t="s">
        <v>182</v>
      </c>
      <c r="F24" s="84" t="s">
        <v>11</v>
      </c>
      <c r="G24" s="83" t="s">
        <v>469</v>
      </c>
      <c r="H24" s="83" t="s">
        <v>5</v>
      </c>
      <c r="I24" s="84" t="s">
        <v>390</v>
      </c>
    </row>
    <row r="25" spans="1:9" ht="30" hidden="1" x14ac:dyDescent="0.25">
      <c r="A25" s="83" t="s">
        <v>385</v>
      </c>
      <c r="B25" s="84" t="s">
        <v>470</v>
      </c>
      <c r="C25" s="83" t="s">
        <v>471</v>
      </c>
      <c r="D25" s="84" t="s">
        <v>472</v>
      </c>
      <c r="E25" s="83" t="s">
        <v>182</v>
      </c>
      <c r="F25" s="84" t="s">
        <v>11</v>
      </c>
      <c r="G25" s="83" t="s">
        <v>389</v>
      </c>
      <c r="H25" s="83" t="s">
        <v>169</v>
      </c>
      <c r="I25" s="84" t="s">
        <v>390</v>
      </c>
    </row>
    <row r="26" spans="1:9" x14ac:dyDescent="0.25">
      <c r="A26" s="83" t="s">
        <v>385</v>
      </c>
      <c r="B26" s="84" t="s">
        <v>473</v>
      </c>
      <c r="C26" s="83" t="s">
        <v>474</v>
      </c>
      <c r="D26" s="84" t="s">
        <v>475</v>
      </c>
      <c r="E26" s="83" t="s">
        <v>27</v>
      </c>
      <c r="F26" s="84" t="s">
        <v>11</v>
      </c>
      <c r="G26" s="83" t="s">
        <v>389</v>
      </c>
      <c r="H26" s="83" t="s">
        <v>168</v>
      </c>
      <c r="I26" s="84" t="s">
        <v>390</v>
      </c>
    </row>
    <row r="27" spans="1:9" x14ac:dyDescent="0.25">
      <c r="A27" s="83" t="s">
        <v>476</v>
      </c>
      <c r="B27" s="84" t="s">
        <v>477</v>
      </c>
      <c r="C27" s="83" t="s">
        <v>478</v>
      </c>
      <c r="D27" s="84" t="s">
        <v>479</v>
      </c>
      <c r="E27" s="83" t="s">
        <v>26</v>
      </c>
      <c r="F27" s="84" t="s">
        <v>11</v>
      </c>
      <c r="G27" s="83" t="s">
        <v>389</v>
      </c>
      <c r="H27" s="83" t="s">
        <v>5</v>
      </c>
      <c r="I27" s="84" t="s">
        <v>390</v>
      </c>
    </row>
    <row r="28" spans="1:9" ht="30" hidden="1" x14ac:dyDescent="0.25">
      <c r="A28" s="83" t="s">
        <v>476</v>
      </c>
      <c r="B28" s="84" t="s">
        <v>480</v>
      </c>
      <c r="C28" s="83" t="s">
        <v>481</v>
      </c>
      <c r="D28" s="84" t="s">
        <v>482</v>
      </c>
      <c r="E28" s="83" t="s">
        <v>26</v>
      </c>
      <c r="F28" s="84" t="s">
        <v>12</v>
      </c>
      <c r="G28" s="83" t="s">
        <v>448</v>
      </c>
      <c r="H28" s="83" t="s">
        <v>483</v>
      </c>
      <c r="I28" s="84" t="s">
        <v>390</v>
      </c>
    </row>
    <row r="29" spans="1:9" ht="30" hidden="1" x14ac:dyDescent="0.25">
      <c r="A29" s="83" t="s">
        <v>476</v>
      </c>
      <c r="B29" s="84" t="s">
        <v>484</v>
      </c>
      <c r="C29" s="83" t="s">
        <v>485</v>
      </c>
      <c r="D29" s="84" t="s">
        <v>486</v>
      </c>
      <c r="E29" s="83" t="s">
        <v>182</v>
      </c>
      <c r="F29" s="84" t="s">
        <v>12</v>
      </c>
      <c r="G29" s="83" t="s">
        <v>448</v>
      </c>
      <c r="H29" s="83" t="s">
        <v>169</v>
      </c>
      <c r="I29" s="84" t="s">
        <v>390</v>
      </c>
    </row>
    <row r="30" spans="1:9" ht="30" hidden="1" x14ac:dyDescent="0.25">
      <c r="A30" s="83" t="s">
        <v>487</v>
      </c>
      <c r="B30" s="84" t="s">
        <v>488</v>
      </c>
      <c r="C30" s="83" t="s">
        <v>489</v>
      </c>
      <c r="D30" s="84" t="s">
        <v>490</v>
      </c>
      <c r="E30" s="83" t="s">
        <v>182</v>
      </c>
      <c r="F30" s="84" t="s">
        <v>183</v>
      </c>
      <c r="G30" s="83" t="s">
        <v>184</v>
      </c>
      <c r="H30" s="83" t="s">
        <v>169</v>
      </c>
      <c r="I30" s="84" t="s">
        <v>491</v>
      </c>
    </row>
    <row r="31" spans="1:9" ht="195" hidden="1" x14ac:dyDescent="0.25">
      <c r="A31" s="83" t="s">
        <v>487</v>
      </c>
      <c r="B31" s="84" t="s">
        <v>492</v>
      </c>
      <c r="C31" s="83" t="s">
        <v>493</v>
      </c>
      <c r="D31" s="84" t="s">
        <v>494</v>
      </c>
      <c r="E31" s="83" t="s">
        <v>26</v>
      </c>
      <c r="F31" s="84" t="s">
        <v>11</v>
      </c>
      <c r="G31" s="83" t="s">
        <v>389</v>
      </c>
      <c r="H31" s="83" t="s">
        <v>4</v>
      </c>
      <c r="I31" s="85" t="s">
        <v>495</v>
      </c>
    </row>
    <row r="32" spans="1:9" ht="30" hidden="1" x14ac:dyDescent="0.25">
      <c r="A32" s="83" t="s">
        <v>487</v>
      </c>
      <c r="B32" s="84" t="s">
        <v>496</v>
      </c>
      <c r="C32" s="83" t="s">
        <v>497</v>
      </c>
      <c r="D32" s="84" t="s">
        <v>498</v>
      </c>
      <c r="E32" s="83" t="s">
        <v>182</v>
      </c>
      <c r="F32" s="84" t="s">
        <v>12</v>
      </c>
      <c r="G32" s="83" t="s">
        <v>448</v>
      </c>
      <c r="H32" s="83" t="s">
        <v>169</v>
      </c>
      <c r="I32" s="84" t="s">
        <v>390</v>
      </c>
    </row>
    <row r="33" spans="1:9" ht="30" x14ac:dyDescent="0.25">
      <c r="A33" s="83" t="s">
        <v>487</v>
      </c>
      <c r="B33" s="84" t="s">
        <v>499</v>
      </c>
      <c r="C33" s="83" t="s">
        <v>500</v>
      </c>
      <c r="D33" s="84" t="s">
        <v>501</v>
      </c>
      <c r="E33" s="83" t="s">
        <v>26</v>
      </c>
      <c r="F33" s="84" t="s">
        <v>12</v>
      </c>
      <c r="G33" s="83" t="s">
        <v>389</v>
      </c>
      <c r="H33" s="83" t="s">
        <v>5</v>
      </c>
      <c r="I33" s="84" t="s">
        <v>390</v>
      </c>
    </row>
    <row r="34" spans="1:9" ht="30" hidden="1" x14ac:dyDescent="0.25">
      <c r="A34" s="83" t="s">
        <v>487</v>
      </c>
      <c r="B34" s="84" t="s">
        <v>502</v>
      </c>
      <c r="C34" s="83" t="s">
        <v>15</v>
      </c>
      <c r="D34" s="84" t="s">
        <v>503</v>
      </c>
      <c r="E34" s="83" t="s">
        <v>26</v>
      </c>
      <c r="F34" s="84" t="s">
        <v>15</v>
      </c>
      <c r="G34" s="84" t="s">
        <v>184</v>
      </c>
      <c r="H34" s="83" t="s">
        <v>169</v>
      </c>
      <c r="I34" s="84" t="s">
        <v>390</v>
      </c>
    </row>
    <row r="35" spans="1:9" ht="30" hidden="1" x14ac:dyDescent="0.25">
      <c r="A35" s="83" t="s">
        <v>487</v>
      </c>
      <c r="B35" s="84" t="s">
        <v>504</v>
      </c>
      <c r="C35" s="83" t="s">
        <v>505</v>
      </c>
      <c r="D35" s="84" t="s">
        <v>506</v>
      </c>
      <c r="E35" s="83" t="s">
        <v>26</v>
      </c>
      <c r="F35" s="84" t="s">
        <v>507</v>
      </c>
      <c r="G35" s="83" t="s">
        <v>406</v>
      </c>
      <c r="H35" s="83" t="s">
        <v>169</v>
      </c>
      <c r="I35" s="84" t="s">
        <v>390</v>
      </c>
    </row>
    <row r="36" spans="1:9" ht="240" hidden="1" x14ac:dyDescent="0.25">
      <c r="A36" s="83" t="s">
        <v>487</v>
      </c>
      <c r="B36" s="84" t="s">
        <v>508</v>
      </c>
      <c r="C36" s="83" t="s">
        <v>509</v>
      </c>
      <c r="D36" s="84" t="s">
        <v>510</v>
      </c>
      <c r="E36" s="83" t="s">
        <v>26</v>
      </c>
      <c r="F36" s="84" t="s">
        <v>507</v>
      </c>
      <c r="G36" s="83" t="s">
        <v>406</v>
      </c>
      <c r="H36" s="83" t="s">
        <v>169</v>
      </c>
      <c r="I36" s="85" t="s">
        <v>511</v>
      </c>
    </row>
    <row r="37" spans="1:9" hidden="1" x14ac:dyDescent="0.25">
      <c r="A37" s="83" t="s">
        <v>487</v>
      </c>
      <c r="B37" s="84" t="s">
        <v>512</v>
      </c>
      <c r="C37" s="83" t="s">
        <v>513</v>
      </c>
      <c r="D37" s="84" t="s">
        <v>514</v>
      </c>
      <c r="E37" s="83" t="s">
        <v>26</v>
      </c>
      <c r="F37" s="84" t="s">
        <v>515</v>
      </c>
      <c r="G37" s="83"/>
      <c r="H37" s="83" t="s">
        <v>169</v>
      </c>
      <c r="I37" s="84" t="s">
        <v>390</v>
      </c>
    </row>
    <row r="39" spans="1:9" x14ac:dyDescent="0.25">
      <c r="E39" s="74" t="s">
        <v>175</v>
      </c>
      <c r="F39" s="75" t="s">
        <v>9</v>
      </c>
      <c r="G39" s="72" t="s">
        <v>4</v>
      </c>
      <c r="H39" s="73" t="s">
        <v>168</v>
      </c>
    </row>
    <row r="40" spans="1:9" x14ac:dyDescent="0.25">
      <c r="A40" s="42" t="s">
        <v>383</v>
      </c>
      <c r="B40" s="39">
        <v>36</v>
      </c>
      <c r="E40" s="67" t="s">
        <v>182</v>
      </c>
      <c r="F40">
        <v>17</v>
      </c>
      <c r="G40">
        <v>14</v>
      </c>
      <c r="H40">
        <f>F40-G40</f>
        <v>3</v>
      </c>
    </row>
    <row r="41" spans="1:9" x14ac:dyDescent="0.25">
      <c r="A41" s="43" t="s">
        <v>3</v>
      </c>
      <c r="B41" s="40">
        <f>B40-B42</f>
        <v>8</v>
      </c>
      <c r="E41" s="68" t="s">
        <v>26</v>
      </c>
      <c r="F41">
        <v>17</v>
      </c>
      <c r="G41">
        <v>13</v>
      </c>
      <c r="H41">
        <f t="shared" ref="H41:H42" si="0">F41-G41</f>
        <v>4</v>
      </c>
    </row>
    <row r="42" spans="1:9" x14ac:dyDescent="0.25">
      <c r="A42" s="44" t="s">
        <v>4</v>
      </c>
      <c r="B42" s="41">
        <v>28</v>
      </c>
      <c r="E42" s="69" t="s">
        <v>27</v>
      </c>
      <c r="F42">
        <v>2</v>
      </c>
      <c r="H42">
        <f t="shared" si="0"/>
        <v>2</v>
      </c>
    </row>
    <row r="43" spans="1:9" x14ac:dyDescent="0.25">
      <c r="A43" s="45" t="s">
        <v>384</v>
      </c>
      <c r="B43" s="88">
        <v>7</v>
      </c>
    </row>
  </sheetData>
  <autoFilter ref="A1:I37" xr:uid="{C0E1283F-346C-4129-8AE6-44A92F546281}">
    <filterColumn colId="7">
      <filters>
        <filter val="In-Progress"/>
        <filter val="Open"/>
      </filters>
    </filterColumn>
  </autoFilter>
  <conditionalFormatting sqref="H2:H37 H39">
    <cfRule type="containsText" dxfId="9" priority="1" operator="containsText" text="In-Progress">
      <formula>NOT(ISERROR(SEARCH("In-Progress",H2)))</formula>
    </cfRule>
    <cfRule type="containsText" dxfId="8" priority="2" operator="containsText" text="Closed">
      <formula>NOT(ISERROR(SEARCH("Closed",H2)))</formula>
    </cfRule>
    <cfRule type="containsText" dxfId="7" priority="3" operator="containsText" text="Open">
      <formula>NOT(ISERROR(SEARCH("Open",H2)))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I62"/>
  <sheetViews>
    <sheetView topLeftCell="B4" zoomScale="110" zoomScaleNormal="110" workbookViewId="0">
      <selection activeCell="D9" sqref="D9:D12"/>
    </sheetView>
  </sheetViews>
  <sheetFormatPr defaultColWidth="9.28515625" defaultRowHeight="15" x14ac:dyDescent="0.25"/>
  <cols>
    <col min="1" max="1" width="14.140625" style="2" bestFit="1" customWidth="1"/>
    <col min="2" max="2" width="50.85546875" style="3" bestFit="1" customWidth="1"/>
    <col min="3" max="3" width="23.42578125" style="3" bestFit="1" customWidth="1"/>
    <col min="4" max="4" width="36.7109375" style="3" customWidth="1"/>
    <col min="5" max="5" width="11" style="2" customWidth="1"/>
    <col min="6" max="6" width="16.7109375" style="2" bestFit="1" customWidth="1"/>
    <col min="7" max="7" width="17.140625" style="2" customWidth="1"/>
    <col min="8" max="8" width="11" style="2" customWidth="1"/>
    <col min="9" max="9" width="28" style="3" customWidth="1"/>
    <col min="10" max="16384" width="9.28515625" style="2"/>
  </cols>
  <sheetData>
    <row r="1" spans="1:9" s="4" customFormat="1" ht="15.75" thickBot="1" x14ac:dyDescent="0.3">
      <c r="A1" s="24" t="s">
        <v>171</v>
      </c>
      <c r="B1" s="26" t="s">
        <v>172</v>
      </c>
      <c r="C1" s="26" t="s">
        <v>173</v>
      </c>
      <c r="D1" s="26" t="s">
        <v>174</v>
      </c>
      <c r="E1" s="24" t="s">
        <v>175</v>
      </c>
      <c r="F1" s="66" t="s">
        <v>52</v>
      </c>
      <c r="G1" s="24" t="s">
        <v>53</v>
      </c>
      <c r="H1" s="24" t="s">
        <v>54</v>
      </c>
      <c r="I1" s="27" t="s">
        <v>55</v>
      </c>
    </row>
    <row r="2" spans="1:9" ht="150" x14ac:dyDescent="0.25">
      <c r="A2" s="9" t="s">
        <v>178</v>
      </c>
      <c r="B2" s="93" t="s">
        <v>516</v>
      </c>
      <c r="C2" s="25" t="s">
        <v>517</v>
      </c>
      <c r="D2" s="25" t="s">
        <v>518</v>
      </c>
      <c r="E2" s="9" t="s">
        <v>182</v>
      </c>
      <c r="F2" s="85" t="s">
        <v>12</v>
      </c>
      <c r="G2" s="80" t="s">
        <v>196</v>
      </c>
      <c r="H2" s="9" t="s">
        <v>169</v>
      </c>
      <c r="I2" s="149" t="s">
        <v>519</v>
      </c>
    </row>
    <row r="3" spans="1:9" ht="150" x14ac:dyDescent="0.25">
      <c r="A3" s="80" t="s">
        <v>178</v>
      </c>
      <c r="B3" s="94" t="s">
        <v>520</v>
      </c>
      <c r="C3" s="59" t="s">
        <v>521</v>
      </c>
      <c r="D3" s="59" t="s">
        <v>518</v>
      </c>
      <c r="E3" s="80" t="s">
        <v>182</v>
      </c>
      <c r="F3" s="85" t="s">
        <v>12</v>
      </c>
      <c r="G3" s="80" t="s">
        <v>196</v>
      </c>
      <c r="H3" s="80" t="s">
        <v>169</v>
      </c>
      <c r="I3" s="149" t="s">
        <v>519</v>
      </c>
    </row>
    <row r="4" spans="1:9" ht="150" x14ac:dyDescent="0.25">
      <c r="A4" s="80" t="s">
        <v>178</v>
      </c>
      <c r="B4" s="94" t="s">
        <v>522</v>
      </c>
      <c r="C4" s="59" t="s">
        <v>523</v>
      </c>
      <c r="D4" s="59" t="s">
        <v>518</v>
      </c>
      <c r="E4" s="80" t="s">
        <v>182</v>
      </c>
      <c r="F4" s="85" t="s">
        <v>12</v>
      </c>
      <c r="G4" s="80" t="s">
        <v>196</v>
      </c>
      <c r="H4" s="80" t="s">
        <v>169</v>
      </c>
      <c r="I4" s="149" t="s">
        <v>519</v>
      </c>
    </row>
    <row r="5" spans="1:9" ht="150" x14ac:dyDescent="0.25">
      <c r="A5" s="80" t="s">
        <v>178</v>
      </c>
      <c r="B5" s="59" t="s">
        <v>524</v>
      </c>
      <c r="C5" s="59" t="s">
        <v>525</v>
      </c>
      <c r="D5" s="59" t="s">
        <v>526</v>
      </c>
      <c r="E5" s="80" t="s">
        <v>182</v>
      </c>
      <c r="F5" s="85" t="s">
        <v>527</v>
      </c>
      <c r="G5" s="80" t="s">
        <v>528</v>
      </c>
      <c r="H5" s="80" t="s">
        <v>169</v>
      </c>
      <c r="I5" s="59" t="s">
        <v>529</v>
      </c>
    </row>
    <row r="6" spans="1:9" ht="90" x14ac:dyDescent="0.25">
      <c r="A6" s="80" t="s">
        <v>178</v>
      </c>
      <c r="B6" s="59" t="s">
        <v>530</v>
      </c>
      <c r="C6" s="59" t="s">
        <v>531</v>
      </c>
      <c r="D6" s="59" t="s">
        <v>532</v>
      </c>
      <c r="E6" s="80" t="s">
        <v>182</v>
      </c>
      <c r="F6" s="85" t="s">
        <v>12</v>
      </c>
      <c r="G6" s="80" t="s">
        <v>196</v>
      </c>
      <c r="H6" s="80" t="s">
        <v>170</v>
      </c>
      <c r="I6" s="59" t="s">
        <v>533</v>
      </c>
    </row>
    <row r="7" spans="1:9" ht="45" x14ac:dyDescent="0.25">
      <c r="A7" s="80" t="s">
        <v>178</v>
      </c>
      <c r="B7" s="59" t="s">
        <v>534</v>
      </c>
      <c r="C7" s="59" t="s">
        <v>535</v>
      </c>
      <c r="D7" s="59" t="s">
        <v>536</v>
      </c>
      <c r="E7" s="80" t="s">
        <v>26</v>
      </c>
      <c r="F7" s="85" t="s">
        <v>12</v>
      </c>
      <c r="G7" s="80" t="s">
        <v>196</v>
      </c>
      <c r="H7" s="80" t="s">
        <v>170</v>
      </c>
      <c r="I7" s="59" t="s">
        <v>537</v>
      </c>
    </row>
    <row r="8" spans="1:9" ht="45" x14ac:dyDescent="0.25">
      <c r="A8" s="80" t="s">
        <v>178</v>
      </c>
      <c r="B8" s="59" t="s">
        <v>538</v>
      </c>
      <c r="C8" s="59" t="s">
        <v>535</v>
      </c>
      <c r="D8" s="59" t="s">
        <v>536</v>
      </c>
      <c r="E8" s="80" t="s">
        <v>26</v>
      </c>
      <c r="F8" s="85" t="s">
        <v>12</v>
      </c>
      <c r="G8" s="80" t="s">
        <v>196</v>
      </c>
      <c r="H8" s="80" t="s">
        <v>170</v>
      </c>
      <c r="I8" s="59" t="s">
        <v>533</v>
      </c>
    </row>
    <row r="9" spans="1:9" ht="120" x14ac:dyDescent="0.25">
      <c r="A9" s="80" t="s">
        <v>178</v>
      </c>
      <c r="B9" s="59" t="s">
        <v>539</v>
      </c>
      <c r="C9" s="59" t="s">
        <v>540</v>
      </c>
      <c r="D9" s="59" t="s">
        <v>541</v>
      </c>
      <c r="E9" s="80" t="s">
        <v>182</v>
      </c>
      <c r="F9" s="85" t="s">
        <v>12</v>
      </c>
      <c r="G9" s="80" t="s">
        <v>542</v>
      </c>
      <c r="H9" s="80" t="s">
        <v>169</v>
      </c>
      <c r="I9" s="59" t="s">
        <v>543</v>
      </c>
    </row>
    <row r="10" spans="1:9" ht="150" x14ac:dyDescent="0.25">
      <c r="A10" s="80" t="s">
        <v>487</v>
      </c>
      <c r="B10" s="59" t="s">
        <v>544</v>
      </c>
      <c r="C10" s="59" t="s">
        <v>489</v>
      </c>
      <c r="D10" s="59" t="s">
        <v>545</v>
      </c>
      <c r="E10" s="80" t="s">
        <v>26</v>
      </c>
      <c r="F10" s="85" t="s">
        <v>12</v>
      </c>
      <c r="G10" s="80" t="s">
        <v>542</v>
      </c>
      <c r="H10" s="80" t="s">
        <v>169</v>
      </c>
      <c r="I10" s="86" t="s">
        <v>495</v>
      </c>
    </row>
    <row r="11" spans="1:9" ht="75" x14ac:dyDescent="0.25">
      <c r="A11" s="80" t="s">
        <v>487</v>
      </c>
      <c r="B11" s="59" t="s">
        <v>546</v>
      </c>
      <c r="C11" s="59" t="s">
        <v>547</v>
      </c>
      <c r="D11" s="59" t="s">
        <v>548</v>
      </c>
      <c r="E11" s="80" t="s">
        <v>26</v>
      </c>
      <c r="F11" s="85" t="s">
        <v>12</v>
      </c>
      <c r="G11" s="80" t="s">
        <v>217</v>
      </c>
      <c r="H11" s="80" t="s">
        <v>169</v>
      </c>
      <c r="I11" s="59" t="s">
        <v>549</v>
      </c>
    </row>
    <row r="12" spans="1:9" ht="60" x14ac:dyDescent="0.25">
      <c r="A12" s="80" t="s">
        <v>487</v>
      </c>
      <c r="B12" s="59" t="s">
        <v>550</v>
      </c>
      <c r="C12" s="59" t="s">
        <v>551</v>
      </c>
      <c r="D12" s="59" t="s">
        <v>552</v>
      </c>
      <c r="E12" s="80" t="s">
        <v>26</v>
      </c>
      <c r="F12" s="85" t="s">
        <v>12</v>
      </c>
      <c r="G12" s="80" t="s">
        <v>196</v>
      </c>
      <c r="H12" s="80" t="s">
        <v>170</v>
      </c>
      <c r="I12" s="86" t="s">
        <v>553</v>
      </c>
    </row>
    <row r="13" spans="1:9" ht="105" x14ac:dyDescent="0.25">
      <c r="A13" s="80" t="s">
        <v>487</v>
      </c>
      <c r="B13" s="59" t="s">
        <v>554</v>
      </c>
      <c r="C13" s="59" t="s">
        <v>555</v>
      </c>
      <c r="D13" s="1" t="s">
        <v>556</v>
      </c>
      <c r="E13" s="80" t="s">
        <v>26</v>
      </c>
      <c r="F13" s="85" t="s">
        <v>17</v>
      </c>
      <c r="G13" s="80" t="s">
        <v>239</v>
      </c>
      <c r="H13" s="80" t="s">
        <v>169</v>
      </c>
      <c r="I13" s="80" t="s">
        <v>557</v>
      </c>
    </row>
    <row r="14" spans="1:9" ht="165" x14ac:dyDescent="0.25">
      <c r="A14" s="80" t="s">
        <v>558</v>
      </c>
      <c r="B14" s="59" t="s">
        <v>559</v>
      </c>
      <c r="C14" s="59" t="s">
        <v>560</v>
      </c>
      <c r="D14" s="59" t="s">
        <v>561</v>
      </c>
      <c r="E14" s="80" t="s">
        <v>27</v>
      </c>
      <c r="F14" s="85" t="s">
        <v>11</v>
      </c>
      <c r="G14" s="80" t="s">
        <v>196</v>
      </c>
      <c r="H14" s="80" t="s">
        <v>170</v>
      </c>
      <c r="I14" s="59" t="s">
        <v>562</v>
      </c>
    </row>
    <row r="15" spans="1:9" ht="90" x14ac:dyDescent="0.25">
      <c r="A15" s="80" t="s">
        <v>558</v>
      </c>
      <c r="B15" s="59" t="s">
        <v>563</v>
      </c>
      <c r="C15" s="59" t="s">
        <v>564</v>
      </c>
      <c r="D15" s="85" t="s">
        <v>565</v>
      </c>
      <c r="E15" s="80" t="s">
        <v>27</v>
      </c>
      <c r="F15" s="85" t="s">
        <v>12</v>
      </c>
      <c r="G15" s="80" t="s">
        <v>217</v>
      </c>
      <c r="H15" s="80" t="s">
        <v>169</v>
      </c>
      <c r="I15" s="148" t="s">
        <v>566</v>
      </c>
    </row>
    <row r="16" spans="1:9" ht="30" x14ac:dyDescent="0.25">
      <c r="A16" s="80" t="s">
        <v>178</v>
      </c>
      <c r="B16" s="59" t="s">
        <v>567</v>
      </c>
      <c r="C16" s="59" t="s">
        <v>568</v>
      </c>
      <c r="D16" s="80"/>
      <c r="E16" s="80" t="s">
        <v>27</v>
      </c>
      <c r="F16" s="85" t="s">
        <v>12</v>
      </c>
      <c r="G16" s="80"/>
      <c r="H16" s="80" t="s">
        <v>4</v>
      </c>
      <c r="I16" s="80"/>
    </row>
    <row r="17" spans="1:9" x14ac:dyDescent="0.25">
      <c r="A17" s="80" t="s">
        <v>178</v>
      </c>
      <c r="B17" s="59" t="s">
        <v>569</v>
      </c>
      <c r="C17" s="59" t="s">
        <v>568</v>
      </c>
      <c r="D17" s="59"/>
      <c r="E17" s="80" t="s">
        <v>27</v>
      </c>
      <c r="F17" s="85" t="s">
        <v>11</v>
      </c>
      <c r="G17" s="80"/>
      <c r="H17" s="80" t="s">
        <v>4</v>
      </c>
      <c r="I17" s="80"/>
    </row>
    <row r="18" spans="1:9" x14ac:dyDescent="0.25">
      <c r="A18" s="80" t="s">
        <v>178</v>
      </c>
      <c r="B18" s="59" t="s">
        <v>570</v>
      </c>
      <c r="C18" s="59" t="s">
        <v>568</v>
      </c>
      <c r="D18" s="59"/>
      <c r="E18" s="80" t="s">
        <v>27</v>
      </c>
      <c r="F18" s="85" t="s">
        <v>15</v>
      </c>
      <c r="G18" s="80"/>
      <c r="H18" s="80" t="s">
        <v>4</v>
      </c>
      <c r="I18" s="80"/>
    </row>
    <row r="19" spans="1:9" x14ac:dyDescent="0.25">
      <c r="A19" s="80" t="s">
        <v>178</v>
      </c>
      <c r="B19" s="59" t="s">
        <v>571</v>
      </c>
      <c r="C19" s="59" t="s">
        <v>572</v>
      </c>
      <c r="D19" s="59"/>
      <c r="E19" s="80" t="s">
        <v>27</v>
      </c>
      <c r="F19" s="85" t="s">
        <v>11</v>
      </c>
      <c r="G19" s="80"/>
      <c r="H19" s="80" t="s">
        <v>4</v>
      </c>
      <c r="I19" s="80"/>
    </row>
    <row r="20" spans="1:9" ht="30" x14ac:dyDescent="0.25">
      <c r="A20" s="80" t="s">
        <v>178</v>
      </c>
      <c r="B20" s="59" t="s">
        <v>573</v>
      </c>
      <c r="C20" s="59" t="s">
        <v>574</v>
      </c>
      <c r="D20" s="59"/>
      <c r="E20" s="80" t="s">
        <v>27</v>
      </c>
      <c r="F20" s="85" t="s">
        <v>12</v>
      </c>
      <c r="G20" s="80"/>
      <c r="H20" s="80" t="s">
        <v>4</v>
      </c>
      <c r="I20" s="80"/>
    </row>
    <row r="21" spans="1:9" ht="30" x14ac:dyDescent="0.25">
      <c r="A21" s="80" t="s">
        <v>178</v>
      </c>
      <c r="B21" s="59" t="s">
        <v>575</v>
      </c>
      <c r="C21" s="59" t="s">
        <v>576</v>
      </c>
      <c r="D21" s="59"/>
      <c r="E21" s="80" t="s">
        <v>27</v>
      </c>
      <c r="F21" s="85" t="s">
        <v>12</v>
      </c>
      <c r="G21" s="80"/>
      <c r="H21" s="80" t="s">
        <v>4</v>
      </c>
      <c r="I21" s="80"/>
    </row>
    <row r="22" spans="1:9" ht="30" x14ac:dyDescent="0.25">
      <c r="A22" s="80" t="s">
        <v>178</v>
      </c>
      <c r="B22" s="59" t="s">
        <v>577</v>
      </c>
      <c r="C22" s="59" t="s">
        <v>578</v>
      </c>
      <c r="D22" s="59"/>
      <c r="E22" s="80" t="s">
        <v>27</v>
      </c>
      <c r="F22" s="85" t="s">
        <v>12</v>
      </c>
      <c r="G22" s="80"/>
      <c r="H22" s="80" t="s">
        <v>4</v>
      </c>
      <c r="I22" s="80"/>
    </row>
    <row r="23" spans="1:9" ht="30" x14ac:dyDescent="0.25">
      <c r="A23" s="80" t="s">
        <v>178</v>
      </c>
      <c r="B23" s="59" t="s">
        <v>579</v>
      </c>
      <c r="C23" s="59" t="s">
        <v>580</v>
      </c>
      <c r="D23" s="59"/>
      <c r="E23" s="80" t="s">
        <v>27</v>
      </c>
      <c r="F23" s="85" t="s">
        <v>12</v>
      </c>
      <c r="G23" s="80"/>
      <c r="H23" s="80" t="s">
        <v>4</v>
      </c>
      <c r="I23" s="80"/>
    </row>
    <row r="24" spans="1:9" ht="30" x14ac:dyDescent="0.25">
      <c r="A24" s="80" t="s">
        <v>178</v>
      </c>
      <c r="B24" s="59" t="s">
        <v>581</v>
      </c>
      <c r="C24" s="59" t="s">
        <v>582</v>
      </c>
      <c r="D24" s="59"/>
      <c r="E24" s="80" t="s">
        <v>27</v>
      </c>
      <c r="F24" s="85" t="s">
        <v>527</v>
      </c>
      <c r="G24" s="80"/>
      <c r="H24" s="80" t="s">
        <v>4</v>
      </c>
      <c r="I24" s="80"/>
    </row>
    <row r="25" spans="1:9" ht="30" x14ac:dyDescent="0.25">
      <c r="A25" s="80" t="s">
        <v>178</v>
      </c>
      <c r="B25" s="59" t="s">
        <v>583</v>
      </c>
      <c r="C25" s="59" t="s">
        <v>584</v>
      </c>
      <c r="D25" s="59"/>
      <c r="E25" s="80" t="s">
        <v>27</v>
      </c>
      <c r="F25" s="85" t="s">
        <v>527</v>
      </c>
      <c r="G25" s="80"/>
      <c r="H25" s="80" t="s">
        <v>4</v>
      </c>
      <c r="I25" s="80"/>
    </row>
    <row r="26" spans="1:9" x14ac:dyDescent="0.25">
      <c r="A26" s="80" t="s">
        <v>178</v>
      </c>
      <c r="B26" s="59" t="s">
        <v>585</v>
      </c>
      <c r="C26" s="59" t="s">
        <v>586</v>
      </c>
      <c r="D26" s="59"/>
      <c r="E26" s="80" t="s">
        <v>27</v>
      </c>
      <c r="F26" s="85" t="s">
        <v>11</v>
      </c>
      <c r="G26" s="80"/>
      <c r="H26" s="80" t="s">
        <v>4</v>
      </c>
      <c r="I26" s="80"/>
    </row>
    <row r="27" spans="1:9" x14ac:dyDescent="0.25">
      <c r="A27" s="80" t="s">
        <v>178</v>
      </c>
      <c r="B27" s="59" t="s">
        <v>587</v>
      </c>
      <c r="C27" s="59" t="s">
        <v>493</v>
      </c>
      <c r="D27" s="59"/>
      <c r="E27" s="80" t="s">
        <v>27</v>
      </c>
      <c r="F27" s="85" t="s">
        <v>11</v>
      </c>
      <c r="G27" s="80"/>
      <c r="H27" s="80" t="s">
        <v>4</v>
      </c>
      <c r="I27" s="80"/>
    </row>
    <row r="28" spans="1:9" x14ac:dyDescent="0.25">
      <c r="A28" s="80" t="s">
        <v>178</v>
      </c>
      <c r="B28" s="59" t="s">
        <v>588</v>
      </c>
      <c r="C28" s="59" t="s">
        <v>362</v>
      </c>
      <c r="D28" s="59"/>
      <c r="E28" s="80" t="s">
        <v>27</v>
      </c>
      <c r="F28" s="85" t="s">
        <v>589</v>
      </c>
      <c r="G28" s="80"/>
      <c r="H28" s="80" t="s">
        <v>4</v>
      </c>
      <c r="I28" s="80"/>
    </row>
    <row r="29" spans="1:9" ht="30" x14ac:dyDescent="0.25">
      <c r="A29" s="80" t="s">
        <v>178</v>
      </c>
      <c r="B29" s="59" t="s">
        <v>590</v>
      </c>
      <c r="C29" s="59" t="s">
        <v>591</v>
      </c>
      <c r="D29" s="59"/>
      <c r="E29" s="80" t="s">
        <v>27</v>
      </c>
      <c r="F29" s="85" t="s">
        <v>12</v>
      </c>
      <c r="G29" s="80"/>
      <c r="H29" s="80" t="s">
        <v>4</v>
      </c>
      <c r="I29" s="80"/>
    </row>
    <row r="30" spans="1:9" x14ac:dyDescent="0.25">
      <c r="A30" s="80" t="s">
        <v>178</v>
      </c>
      <c r="B30" s="59" t="s">
        <v>592</v>
      </c>
      <c r="C30" s="59" t="s">
        <v>593</v>
      </c>
      <c r="D30" s="59"/>
      <c r="E30" s="80" t="s">
        <v>27</v>
      </c>
      <c r="F30" s="85" t="s">
        <v>11</v>
      </c>
      <c r="G30" s="80"/>
      <c r="H30" s="80" t="s">
        <v>4</v>
      </c>
      <c r="I30" s="80"/>
    </row>
    <row r="31" spans="1:9" x14ac:dyDescent="0.25">
      <c r="A31" s="80" t="s">
        <v>178</v>
      </c>
      <c r="B31" s="59" t="s">
        <v>594</v>
      </c>
      <c r="C31" s="59" t="s">
        <v>595</v>
      </c>
      <c r="D31" s="59"/>
      <c r="E31" s="80" t="s">
        <v>27</v>
      </c>
      <c r="F31" s="85" t="s">
        <v>589</v>
      </c>
      <c r="G31" s="80"/>
      <c r="H31" s="80" t="s">
        <v>4</v>
      </c>
      <c r="I31" s="80"/>
    </row>
    <row r="32" spans="1:9" ht="30" x14ac:dyDescent="0.25">
      <c r="A32" s="80" t="s">
        <v>487</v>
      </c>
      <c r="B32" s="59" t="s">
        <v>596</v>
      </c>
      <c r="C32" s="59" t="s">
        <v>597</v>
      </c>
      <c r="D32" s="59"/>
      <c r="E32" s="80" t="s">
        <v>27</v>
      </c>
      <c r="F32" s="85" t="s">
        <v>12</v>
      </c>
      <c r="G32" s="80"/>
      <c r="H32" s="80" t="s">
        <v>4</v>
      </c>
      <c r="I32" s="80"/>
    </row>
    <row r="33" spans="1:9" x14ac:dyDescent="0.25">
      <c r="A33" s="80" t="s">
        <v>487</v>
      </c>
      <c r="B33" s="59" t="s">
        <v>598</v>
      </c>
      <c r="C33" s="59" t="s">
        <v>15</v>
      </c>
      <c r="D33" s="59"/>
      <c r="E33" s="80" t="s">
        <v>27</v>
      </c>
      <c r="F33" s="85" t="s">
        <v>15</v>
      </c>
      <c r="G33" s="80"/>
      <c r="H33" s="80" t="s">
        <v>4</v>
      </c>
      <c r="I33" s="80"/>
    </row>
    <row r="34" spans="1:9" x14ac:dyDescent="0.25">
      <c r="A34" s="80" t="s">
        <v>487</v>
      </c>
      <c r="B34" s="59" t="s">
        <v>599</v>
      </c>
      <c r="C34" s="59" t="s">
        <v>597</v>
      </c>
      <c r="D34" s="59"/>
      <c r="E34" s="80" t="s">
        <v>27</v>
      </c>
      <c r="F34" s="85" t="s">
        <v>11</v>
      </c>
      <c r="G34" s="80"/>
      <c r="H34" s="80" t="s">
        <v>4</v>
      </c>
      <c r="I34" s="80"/>
    </row>
    <row r="35" spans="1:9" x14ac:dyDescent="0.25">
      <c r="A35" s="80" t="s">
        <v>487</v>
      </c>
      <c r="B35" s="59" t="s">
        <v>600</v>
      </c>
      <c r="C35" s="59" t="s">
        <v>597</v>
      </c>
      <c r="D35" s="59"/>
      <c r="E35" s="80" t="s">
        <v>27</v>
      </c>
      <c r="F35" s="85" t="s">
        <v>11</v>
      </c>
      <c r="G35" s="80"/>
      <c r="H35" s="80" t="s">
        <v>4</v>
      </c>
      <c r="I35" s="80"/>
    </row>
    <row r="36" spans="1:9" ht="30" x14ac:dyDescent="0.25">
      <c r="A36" s="80" t="s">
        <v>487</v>
      </c>
      <c r="B36" s="59" t="s">
        <v>601</v>
      </c>
      <c r="C36" s="59" t="s">
        <v>602</v>
      </c>
      <c r="D36" s="59"/>
      <c r="E36" s="80" t="s">
        <v>27</v>
      </c>
      <c r="F36" s="85" t="s">
        <v>12</v>
      </c>
      <c r="G36" s="80"/>
      <c r="H36" s="80" t="s">
        <v>4</v>
      </c>
      <c r="I36" s="80"/>
    </row>
    <row r="37" spans="1:9" x14ac:dyDescent="0.25">
      <c r="A37" s="80" t="s">
        <v>487</v>
      </c>
      <c r="B37" s="59" t="s">
        <v>603</v>
      </c>
      <c r="C37" s="59" t="s">
        <v>15</v>
      </c>
      <c r="D37" s="59"/>
      <c r="E37" s="80" t="s">
        <v>27</v>
      </c>
      <c r="F37" s="85" t="s">
        <v>15</v>
      </c>
      <c r="G37" s="80"/>
      <c r="H37" s="80" t="s">
        <v>4</v>
      </c>
      <c r="I37" s="80"/>
    </row>
    <row r="38" spans="1:9" x14ac:dyDescent="0.25">
      <c r="A38" s="80" t="s">
        <v>487</v>
      </c>
      <c r="B38" s="59" t="s">
        <v>604</v>
      </c>
      <c r="C38" s="59" t="s">
        <v>605</v>
      </c>
      <c r="D38" s="59"/>
      <c r="E38" s="80" t="s">
        <v>27</v>
      </c>
      <c r="F38" s="85" t="s">
        <v>17</v>
      </c>
      <c r="G38" s="80"/>
      <c r="H38" s="80" t="s">
        <v>4</v>
      </c>
      <c r="I38" s="80"/>
    </row>
    <row r="39" spans="1:9" x14ac:dyDescent="0.25">
      <c r="A39" s="80" t="s">
        <v>558</v>
      </c>
      <c r="B39" s="59" t="s">
        <v>606</v>
      </c>
      <c r="C39" s="59" t="s">
        <v>560</v>
      </c>
      <c r="D39" s="59"/>
      <c r="E39" s="80" t="s">
        <v>27</v>
      </c>
      <c r="F39" s="85" t="s">
        <v>11</v>
      </c>
      <c r="G39" s="80"/>
      <c r="H39" s="80" t="s">
        <v>4</v>
      </c>
      <c r="I39" s="80"/>
    </row>
    <row r="40" spans="1:9" ht="15.75" thickBot="1" x14ac:dyDescent="0.3">
      <c r="F40" s="29"/>
    </row>
    <row r="41" spans="1:9" x14ac:dyDescent="0.25">
      <c r="A41" s="35" t="s">
        <v>383</v>
      </c>
      <c r="B41" s="31">
        <v>38</v>
      </c>
      <c r="E41" s="76" t="s">
        <v>175</v>
      </c>
      <c r="F41" s="76" t="s">
        <v>9</v>
      </c>
      <c r="G41" s="76" t="s">
        <v>4</v>
      </c>
      <c r="H41" s="77" t="s">
        <v>3</v>
      </c>
    </row>
    <row r="42" spans="1:9" x14ac:dyDescent="0.25">
      <c r="A42" s="36" t="s">
        <v>3</v>
      </c>
      <c r="B42" s="32">
        <f>B41-B43</f>
        <v>6</v>
      </c>
      <c r="E42" s="67" t="s">
        <v>182</v>
      </c>
      <c r="F42" s="29">
        <v>6</v>
      </c>
      <c r="G42" s="2">
        <v>6</v>
      </c>
      <c r="H42" s="3">
        <f>F42-G42</f>
        <v>0</v>
      </c>
    </row>
    <row r="43" spans="1:9" x14ac:dyDescent="0.25">
      <c r="A43" s="37" t="s">
        <v>4</v>
      </c>
      <c r="B43" s="33">
        <v>32</v>
      </c>
      <c r="E43" s="68" t="s">
        <v>26</v>
      </c>
      <c r="F43" s="29">
        <v>6</v>
      </c>
      <c r="G43" s="2">
        <v>3</v>
      </c>
      <c r="H43" s="3">
        <f t="shared" ref="H43:H44" si="0">F43-G43</f>
        <v>3</v>
      </c>
    </row>
    <row r="44" spans="1:9" ht="15.75" thickBot="1" x14ac:dyDescent="0.3">
      <c r="A44" s="38" t="s">
        <v>384</v>
      </c>
      <c r="B44" s="34">
        <v>3</v>
      </c>
      <c r="E44" s="69" t="s">
        <v>27</v>
      </c>
      <c r="F44" s="29">
        <v>26</v>
      </c>
      <c r="G44" s="2">
        <v>24</v>
      </c>
      <c r="H44" s="3">
        <f t="shared" si="0"/>
        <v>2</v>
      </c>
    </row>
    <row r="45" spans="1:9" x14ac:dyDescent="0.25">
      <c r="F45" s="29"/>
    </row>
    <row r="46" spans="1:9" x14ac:dyDescent="0.25">
      <c r="F46" s="29"/>
    </row>
    <row r="47" spans="1:9" x14ac:dyDescent="0.25">
      <c r="F47" s="29"/>
    </row>
    <row r="48" spans="1:9" x14ac:dyDescent="0.25">
      <c r="F48" s="29"/>
    </row>
    <row r="49" spans="6:6" x14ac:dyDescent="0.25">
      <c r="F49" s="29"/>
    </row>
    <row r="50" spans="6:6" x14ac:dyDescent="0.25">
      <c r="F50" s="29"/>
    </row>
    <row r="51" spans="6:6" x14ac:dyDescent="0.25">
      <c r="F51" s="29"/>
    </row>
    <row r="52" spans="6:6" x14ac:dyDescent="0.25">
      <c r="F52" s="29"/>
    </row>
    <row r="53" spans="6:6" x14ac:dyDescent="0.25">
      <c r="F53" s="29"/>
    </row>
    <row r="54" spans="6:6" x14ac:dyDescent="0.25">
      <c r="F54" s="29"/>
    </row>
    <row r="55" spans="6:6" x14ac:dyDescent="0.25">
      <c r="F55" s="29"/>
    </row>
    <row r="56" spans="6:6" x14ac:dyDescent="0.25">
      <c r="F56" s="29"/>
    </row>
    <row r="57" spans="6:6" x14ac:dyDescent="0.25">
      <c r="F57" s="29"/>
    </row>
    <row r="58" spans="6:6" x14ac:dyDescent="0.25">
      <c r="F58" s="29"/>
    </row>
    <row r="59" spans="6:6" x14ac:dyDescent="0.25">
      <c r="F59" s="29"/>
    </row>
    <row r="60" spans="6:6" x14ac:dyDescent="0.25">
      <c r="F60" s="29"/>
    </row>
    <row r="61" spans="6:6" x14ac:dyDescent="0.25">
      <c r="F61" s="29"/>
    </row>
    <row r="62" spans="6:6" x14ac:dyDescent="0.25">
      <c r="F62" s="29"/>
    </row>
  </sheetData>
  <autoFilter ref="A1:H39" xr:uid="{00000000-0001-0000-0000-000000000000}"/>
  <conditionalFormatting sqref="H1:H40 G41:G44 H45:H1048576">
    <cfRule type="containsText" dxfId="6" priority="2" operator="containsText" text="In-Progress">
      <formula>NOT(ISERROR(SEARCH("In-Progress",G1)))</formula>
    </cfRule>
  </conditionalFormatting>
  <conditionalFormatting sqref="H2:H39">
    <cfRule type="containsText" dxfId="5" priority="3" operator="containsText" text="Open">
      <formula>NOT(ISERROR(SEARCH("Open",H2)))</formula>
    </cfRule>
    <cfRule type="containsText" dxfId="4" priority="4" operator="containsText" text="Closed ">
      <formula>NOT(ISERROR(SEARCH("Closed ",H2)))</formula>
    </cfRule>
  </conditionalFormatting>
  <conditionalFormatting sqref="H16:H39">
    <cfRule type="containsText" dxfId="3" priority="1" operator="containsText" text="Closed">
      <formula>NOT(ISERROR(SEARCH("Closed",H16)))</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54CC-4392-49EF-BA0A-C5682E44AF43}">
  <sheetPr>
    <tabColor theme="5"/>
  </sheetPr>
  <dimension ref="A1:K31"/>
  <sheetViews>
    <sheetView workbookViewId="0">
      <selection activeCell="G3" sqref="G3"/>
    </sheetView>
  </sheetViews>
  <sheetFormatPr defaultRowHeight="15" x14ac:dyDescent="0.25"/>
  <cols>
    <col min="1" max="1" width="11.140625" bestFit="1" customWidth="1"/>
    <col min="3" max="3" width="11.42578125" customWidth="1"/>
    <col min="4" max="4" width="23.42578125" customWidth="1"/>
    <col min="5" max="5" width="23.28515625" customWidth="1"/>
    <col min="6" max="6" width="15" customWidth="1"/>
    <col min="7" max="7" width="28" customWidth="1"/>
    <col min="8" max="8" width="13.42578125" customWidth="1"/>
    <col min="9" max="9" width="12.7109375" customWidth="1"/>
    <col min="11" max="11" width="13.42578125" customWidth="1"/>
  </cols>
  <sheetData>
    <row r="1" spans="1:11" ht="30.75" thickBot="1" x14ac:dyDescent="0.3">
      <c r="A1" s="63" t="s">
        <v>171</v>
      </c>
      <c r="B1" s="63" t="s">
        <v>607</v>
      </c>
      <c r="C1" s="63" t="s">
        <v>608</v>
      </c>
      <c r="D1" s="63" t="s">
        <v>609</v>
      </c>
      <c r="E1" s="63" t="s">
        <v>610</v>
      </c>
      <c r="F1" s="63" t="s">
        <v>611</v>
      </c>
      <c r="G1" s="64" t="s">
        <v>612</v>
      </c>
      <c r="H1" s="63" t="s">
        <v>613</v>
      </c>
      <c r="I1" s="63" t="s">
        <v>8</v>
      </c>
      <c r="J1" s="63" t="s">
        <v>614</v>
      </c>
      <c r="K1" s="65" t="s">
        <v>615</v>
      </c>
    </row>
    <row r="2" spans="1:11" ht="225" x14ac:dyDescent="0.25">
      <c r="A2" s="61" t="s">
        <v>616</v>
      </c>
      <c r="B2" s="61" t="s">
        <v>617</v>
      </c>
      <c r="C2" s="61" t="s">
        <v>618</v>
      </c>
      <c r="D2" s="61" t="s">
        <v>619</v>
      </c>
      <c r="E2" s="61" t="s">
        <v>620</v>
      </c>
      <c r="F2" s="61" t="s">
        <v>30</v>
      </c>
      <c r="G2" s="61" t="s">
        <v>621</v>
      </c>
      <c r="H2" s="61" t="s">
        <v>622</v>
      </c>
      <c r="I2" s="61" t="s">
        <v>389</v>
      </c>
      <c r="J2" s="62"/>
      <c r="K2" s="57" t="s">
        <v>169</v>
      </c>
    </row>
    <row r="3" spans="1:11" ht="60" x14ac:dyDescent="0.25">
      <c r="A3" s="57" t="s">
        <v>616</v>
      </c>
      <c r="B3" s="57" t="s">
        <v>623</v>
      </c>
      <c r="C3" s="57" t="s">
        <v>624</v>
      </c>
      <c r="D3" s="57" t="s">
        <v>625</v>
      </c>
      <c r="E3" s="57" t="s">
        <v>626</v>
      </c>
      <c r="F3" s="57" t="s">
        <v>30</v>
      </c>
      <c r="G3" s="59" t="s">
        <v>627</v>
      </c>
      <c r="H3" s="57" t="s">
        <v>622</v>
      </c>
      <c r="I3" s="57" t="s">
        <v>270</v>
      </c>
      <c r="J3" s="60">
        <v>46204</v>
      </c>
      <c r="K3" s="57" t="s">
        <v>169</v>
      </c>
    </row>
    <row r="4" spans="1:11" ht="180" x14ac:dyDescent="0.25">
      <c r="A4" s="57" t="s">
        <v>616</v>
      </c>
      <c r="B4" s="57" t="s">
        <v>628</v>
      </c>
      <c r="C4" s="57" t="s">
        <v>629</v>
      </c>
      <c r="D4" s="57" t="s">
        <v>630</v>
      </c>
      <c r="E4" s="57" t="s">
        <v>631</v>
      </c>
      <c r="F4" s="57" t="s">
        <v>33</v>
      </c>
      <c r="G4" s="57" t="s">
        <v>632</v>
      </c>
      <c r="H4" s="57" t="s">
        <v>622</v>
      </c>
      <c r="I4" s="57" t="s">
        <v>406</v>
      </c>
      <c r="J4" s="60">
        <v>45962</v>
      </c>
      <c r="K4" s="57" t="s">
        <v>169</v>
      </c>
    </row>
    <row r="5" spans="1:11" ht="195" x14ac:dyDescent="0.25">
      <c r="A5" s="57" t="s">
        <v>616</v>
      </c>
      <c r="B5" s="57" t="s">
        <v>633</v>
      </c>
      <c r="C5" s="57" t="s">
        <v>634</v>
      </c>
      <c r="D5" s="57" t="s">
        <v>635</v>
      </c>
      <c r="E5" s="57" t="s">
        <v>636</v>
      </c>
      <c r="F5" s="57" t="s">
        <v>637</v>
      </c>
      <c r="G5" s="57" t="s">
        <v>638</v>
      </c>
      <c r="H5" s="57" t="b">
        <v>0</v>
      </c>
      <c r="I5" s="57" t="s">
        <v>389</v>
      </c>
      <c r="J5" s="60">
        <v>46148</v>
      </c>
      <c r="K5" s="57" t="s">
        <v>169</v>
      </c>
    </row>
    <row r="6" spans="1:11" ht="135" x14ac:dyDescent="0.25">
      <c r="A6" s="57" t="s">
        <v>616</v>
      </c>
      <c r="B6" s="57" t="s">
        <v>639</v>
      </c>
      <c r="C6" s="57" t="s">
        <v>640</v>
      </c>
      <c r="D6" s="57" t="s">
        <v>641</v>
      </c>
      <c r="E6" s="57" t="s">
        <v>642</v>
      </c>
      <c r="F6" s="57" t="s">
        <v>637</v>
      </c>
      <c r="G6" s="57" t="s">
        <v>643</v>
      </c>
      <c r="H6" s="57" t="s">
        <v>644</v>
      </c>
      <c r="I6" s="57" t="s">
        <v>389</v>
      </c>
      <c r="J6" s="58"/>
      <c r="K6" s="57" t="s">
        <v>169</v>
      </c>
    </row>
    <row r="7" spans="1:11" ht="195" x14ac:dyDescent="0.25">
      <c r="A7" s="57" t="s">
        <v>616</v>
      </c>
      <c r="B7" s="57" t="s">
        <v>645</v>
      </c>
      <c r="C7" s="57" t="s">
        <v>646</v>
      </c>
      <c r="D7" s="57" t="s">
        <v>647</v>
      </c>
      <c r="E7" s="57" t="s">
        <v>648</v>
      </c>
      <c r="F7" s="57" t="s">
        <v>637</v>
      </c>
      <c r="G7" s="57" t="s">
        <v>649</v>
      </c>
      <c r="H7" s="57" t="s">
        <v>622</v>
      </c>
      <c r="I7" s="57" t="s">
        <v>389</v>
      </c>
      <c r="J7" s="60">
        <v>46152</v>
      </c>
      <c r="K7" s="57" t="s">
        <v>169</v>
      </c>
    </row>
    <row r="8" spans="1:11" ht="75" x14ac:dyDescent="0.25">
      <c r="A8" s="57" t="s">
        <v>616</v>
      </c>
      <c r="B8" s="57" t="s">
        <v>650</v>
      </c>
      <c r="C8" s="57" t="s">
        <v>651</v>
      </c>
      <c r="D8" s="57" t="s">
        <v>652</v>
      </c>
      <c r="E8" s="57" t="s">
        <v>653</v>
      </c>
      <c r="F8" s="57" t="s">
        <v>654</v>
      </c>
      <c r="G8" s="57" t="s">
        <v>655</v>
      </c>
      <c r="H8" s="57" t="s">
        <v>622</v>
      </c>
      <c r="I8" s="57" t="s">
        <v>270</v>
      </c>
      <c r="J8" s="58"/>
      <c r="K8" s="57" t="s">
        <v>5</v>
      </c>
    </row>
    <row r="9" spans="1:11" ht="225" x14ac:dyDescent="0.25">
      <c r="A9" s="57" t="s">
        <v>616</v>
      </c>
      <c r="B9" s="57" t="s">
        <v>656</v>
      </c>
      <c r="C9" s="57" t="s">
        <v>657</v>
      </c>
      <c r="D9" s="57" t="s">
        <v>658</v>
      </c>
      <c r="E9" s="57" t="s">
        <v>659</v>
      </c>
      <c r="F9" s="57" t="s">
        <v>660</v>
      </c>
      <c r="G9" s="57" t="s">
        <v>661</v>
      </c>
      <c r="H9" s="57" t="s">
        <v>644</v>
      </c>
      <c r="I9" s="57" t="s">
        <v>270</v>
      </c>
      <c r="J9" s="58"/>
      <c r="K9" s="57" t="s">
        <v>169</v>
      </c>
    </row>
    <row r="10" spans="1:11" ht="255" x14ac:dyDescent="0.25">
      <c r="A10" s="57" t="s">
        <v>616</v>
      </c>
      <c r="B10" s="57" t="s">
        <v>662</v>
      </c>
      <c r="C10" s="57" t="s">
        <v>663</v>
      </c>
      <c r="D10" s="57" t="s">
        <v>664</v>
      </c>
      <c r="E10" s="57" t="s">
        <v>665</v>
      </c>
      <c r="F10" s="57" t="s">
        <v>660</v>
      </c>
      <c r="G10" s="57" t="s">
        <v>666</v>
      </c>
      <c r="H10" s="57" t="s">
        <v>622</v>
      </c>
      <c r="I10" s="57" t="s">
        <v>270</v>
      </c>
      <c r="J10" s="58"/>
      <c r="K10" s="57" t="s">
        <v>169</v>
      </c>
    </row>
    <row r="11" spans="1:11" ht="225" x14ac:dyDescent="0.25">
      <c r="A11" s="57" t="s">
        <v>616</v>
      </c>
      <c r="B11" s="57" t="s">
        <v>667</v>
      </c>
      <c r="C11" s="57" t="s">
        <v>668</v>
      </c>
      <c r="D11" s="57" t="s">
        <v>669</v>
      </c>
      <c r="E11" s="57" t="s">
        <v>670</v>
      </c>
      <c r="F11" s="57" t="s">
        <v>671</v>
      </c>
      <c r="G11" s="59" t="s">
        <v>672</v>
      </c>
      <c r="H11" s="57" t="s">
        <v>622</v>
      </c>
      <c r="I11" s="57" t="s">
        <v>184</v>
      </c>
      <c r="J11" s="58"/>
      <c r="K11" s="87" t="s">
        <v>4</v>
      </c>
    </row>
    <row r="12" spans="1:11" ht="135" x14ac:dyDescent="0.25">
      <c r="A12" s="57" t="s">
        <v>616</v>
      </c>
      <c r="B12" s="57" t="s">
        <v>673</v>
      </c>
      <c r="C12" s="57" t="s">
        <v>674</v>
      </c>
      <c r="D12" s="57" t="s">
        <v>675</v>
      </c>
      <c r="E12" s="57" t="s">
        <v>676</v>
      </c>
      <c r="F12" s="57" t="s">
        <v>671</v>
      </c>
      <c r="G12" s="57" t="s">
        <v>677</v>
      </c>
      <c r="H12" s="57" t="s">
        <v>622</v>
      </c>
      <c r="I12" s="57" t="s">
        <v>184</v>
      </c>
      <c r="J12" s="58"/>
      <c r="K12" s="57" t="s">
        <v>169</v>
      </c>
    </row>
    <row r="13" spans="1:11" ht="165" x14ac:dyDescent="0.25">
      <c r="A13" s="57" t="s">
        <v>616</v>
      </c>
      <c r="B13" s="57" t="s">
        <v>678</v>
      </c>
      <c r="C13" s="57" t="s">
        <v>679</v>
      </c>
      <c r="D13" s="57" t="s">
        <v>680</v>
      </c>
      <c r="E13" s="57" t="s">
        <v>681</v>
      </c>
      <c r="F13" s="57" t="s">
        <v>605</v>
      </c>
      <c r="G13" s="57" t="s">
        <v>682</v>
      </c>
      <c r="H13" s="57" t="b">
        <v>0</v>
      </c>
      <c r="I13" s="57" t="s">
        <v>184</v>
      </c>
      <c r="J13" s="58"/>
      <c r="K13" s="57" t="s">
        <v>169</v>
      </c>
    </row>
    <row r="14" spans="1:11" ht="180" x14ac:dyDescent="0.25">
      <c r="A14" s="57" t="s">
        <v>616</v>
      </c>
      <c r="B14" s="57" t="s">
        <v>683</v>
      </c>
      <c r="C14" s="57" t="s">
        <v>684</v>
      </c>
      <c r="D14" s="57" t="s">
        <v>685</v>
      </c>
      <c r="E14" s="57" t="s">
        <v>686</v>
      </c>
      <c r="F14" s="57" t="s">
        <v>687</v>
      </c>
      <c r="G14" s="59" t="s">
        <v>688</v>
      </c>
      <c r="H14" s="57" t="s">
        <v>622</v>
      </c>
      <c r="I14" s="57" t="s">
        <v>406</v>
      </c>
      <c r="J14" s="58"/>
      <c r="K14" s="57" t="s">
        <v>169</v>
      </c>
    </row>
    <row r="15" spans="1:11" ht="135" x14ac:dyDescent="0.25">
      <c r="A15" s="57" t="s">
        <v>616</v>
      </c>
      <c r="B15" s="57" t="s">
        <v>689</v>
      </c>
      <c r="C15" s="57" t="s">
        <v>690</v>
      </c>
      <c r="D15" s="57" t="s">
        <v>691</v>
      </c>
      <c r="E15" s="57" t="s">
        <v>692</v>
      </c>
      <c r="F15" s="57" t="s">
        <v>687</v>
      </c>
      <c r="G15" s="59" t="s">
        <v>693</v>
      </c>
      <c r="H15" s="57" t="s">
        <v>622</v>
      </c>
      <c r="I15" s="57" t="s">
        <v>406</v>
      </c>
      <c r="J15" s="58"/>
      <c r="K15" s="57" t="s">
        <v>169</v>
      </c>
    </row>
    <row r="16" spans="1:11" ht="90" x14ac:dyDescent="0.25">
      <c r="A16" s="57" t="s">
        <v>616</v>
      </c>
      <c r="B16" s="57" t="s">
        <v>694</v>
      </c>
      <c r="C16" s="57" t="s">
        <v>695</v>
      </c>
      <c r="D16" s="57" t="s">
        <v>696</v>
      </c>
      <c r="E16" s="57" t="s">
        <v>697</v>
      </c>
      <c r="F16" s="57" t="s">
        <v>37</v>
      </c>
      <c r="G16" s="57" t="s">
        <v>698</v>
      </c>
      <c r="H16" s="57" t="s">
        <v>622</v>
      </c>
      <c r="I16" s="57" t="s">
        <v>389</v>
      </c>
      <c r="J16" s="58"/>
      <c r="K16" s="57" t="s">
        <v>169</v>
      </c>
    </row>
    <row r="17" spans="1:11" ht="210" x14ac:dyDescent="0.25">
      <c r="A17" s="57" t="s">
        <v>616</v>
      </c>
      <c r="B17" s="57" t="s">
        <v>699</v>
      </c>
      <c r="C17" s="57" t="s">
        <v>700</v>
      </c>
      <c r="D17" s="57" t="s">
        <v>701</v>
      </c>
      <c r="E17" s="57" t="s">
        <v>702</v>
      </c>
      <c r="F17" s="57" t="s">
        <v>527</v>
      </c>
      <c r="G17" s="57" t="s">
        <v>703</v>
      </c>
      <c r="H17" s="57" t="s">
        <v>622</v>
      </c>
      <c r="I17" s="57" t="s">
        <v>704</v>
      </c>
      <c r="J17" s="58"/>
      <c r="K17" s="57" t="s">
        <v>254</v>
      </c>
    </row>
    <row r="18" spans="1:11" ht="150" x14ac:dyDescent="0.25">
      <c r="A18" s="57" t="s">
        <v>616</v>
      </c>
      <c r="B18" s="57" t="s">
        <v>705</v>
      </c>
      <c r="C18" s="57" t="s">
        <v>706</v>
      </c>
      <c r="D18" s="57" t="s">
        <v>707</v>
      </c>
      <c r="E18" s="57" t="s">
        <v>708</v>
      </c>
      <c r="F18" s="57" t="s">
        <v>527</v>
      </c>
      <c r="G18" s="57" t="s">
        <v>629</v>
      </c>
      <c r="H18" s="57" t="s">
        <v>622</v>
      </c>
      <c r="I18" s="57" t="s">
        <v>704</v>
      </c>
      <c r="J18" s="58"/>
      <c r="K18" s="57" t="s">
        <v>254</v>
      </c>
    </row>
    <row r="19" spans="1:11" ht="180" x14ac:dyDescent="0.25">
      <c r="A19" s="57" t="s">
        <v>616</v>
      </c>
      <c r="B19" s="57" t="s">
        <v>709</v>
      </c>
      <c r="C19" s="57" t="s">
        <v>700</v>
      </c>
      <c r="D19" s="57" t="s">
        <v>710</v>
      </c>
      <c r="E19" s="57" t="s">
        <v>711</v>
      </c>
      <c r="F19" s="57" t="s">
        <v>527</v>
      </c>
      <c r="G19" s="57" t="s">
        <v>629</v>
      </c>
      <c r="H19" s="57" t="s">
        <v>622</v>
      </c>
      <c r="I19" s="57" t="s">
        <v>704</v>
      </c>
      <c r="J19" s="58"/>
      <c r="K19" s="57" t="s">
        <v>169</v>
      </c>
    </row>
    <row r="20" spans="1:11" ht="225" x14ac:dyDescent="0.25">
      <c r="A20" s="57" t="s">
        <v>616</v>
      </c>
      <c r="B20" s="57" t="s">
        <v>712</v>
      </c>
      <c r="C20" s="57" t="s">
        <v>713</v>
      </c>
      <c r="D20" s="57" t="s">
        <v>714</v>
      </c>
      <c r="E20" s="57" t="s">
        <v>715</v>
      </c>
      <c r="F20" s="57" t="s">
        <v>716</v>
      </c>
      <c r="G20" s="57" t="s">
        <v>717</v>
      </c>
      <c r="H20" s="57" t="s">
        <v>622</v>
      </c>
      <c r="I20" s="57" t="s">
        <v>406</v>
      </c>
      <c r="J20" s="58"/>
      <c r="K20" s="57" t="s">
        <v>169</v>
      </c>
    </row>
    <row r="21" spans="1:11" ht="315" x14ac:dyDescent="0.25">
      <c r="A21" s="57" t="s">
        <v>616</v>
      </c>
      <c r="B21" s="57" t="s">
        <v>718</v>
      </c>
      <c r="C21" s="57" t="s">
        <v>719</v>
      </c>
      <c r="D21" s="57" t="s">
        <v>720</v>
      </c>
      <c r="E21" s="57" t="s">
        <v>721</v>
      </c>
      <c r="F21" s="57" t="s">
        <v>722</v>
      </c>
      <c r="G21" s="57" t="s">
        <v>723</v>
      </c>
      <c r="H21" s="57" t="s">
        <v>622</v>
      </c>
      <c r="I21" s="57" t="s">
        <v>406</v>
      </c>
      <c r="J21" s="58"/>
      <c r="K21" s="57" t="s">
        <v>5</v>
      </c>
    </row>
    <row r="22" spans="1:11" ht="90" x14ac:dyDescent="0.25">
      <c r="A22" s="57" t="s">
        <v>616</v>
      </c>
      <c r="B22" s="57" t="s">
        <v>724</v>
      </c>
      <c r="C22" s="57" t="s">
        <v>725</v>
      </c>
      <c r="D22" s="57" t="s">
        <v>726</v>
      </c>
      <c r="E22" s="57" t="s">
        <v>727</v>
      </c>
      <c r="F22" s="57" t="s">
        <v>722</v>
      </c>
      <c r="G22" s="57" t="s">
        <v>728</v>
      </c>
      <c r="H22" s="57" t="s">
        <v>622</v>
      </c>
      <c r="I22" s="57" t="s">
        <v>406</v>
      </c>
      <c r="J22" s="58"/>
      <c r="K22" s="57" t="s">
        <v>169</v>
      </c>
    </row>
    <row r="23" spans="1:11" ht="195" x14ac:dyDescent="0.25">
      <c r="A23" s="57" t="s">
        <v>616</v>
      </c>
      <c r="B23" s="57" t="s">
        <v>729</v>
      </c>
      <c r="C23" s="57" t="s">
        <v>730</v>
      </c>
      <c r="D23" s="57" t="s">
        <v>731</v>
      </c>
      <c r="E23" s="57" t="s">
        <v>732</v>
      </c>
      <c r="F23" s="57" t="s">
        <v>722</v>
      </c>
      <c r="G23" s="57" t="s">
        <v>733</v>
      </c>
      <c r="H23" s="57" t="s">
        <v>622</v>
      </c>
      <c r="I23" s="57" t="s">
        <v>406</v>
      </c>
      <c r="J23" s="58"/>
      <c r="K23" s="57" t="s">
        <v>169</v>
      </c>
    </row>
    <row r="24" spans="1:11" ht="165" x14ac:dyDescent="0.25">
      <c r="A24" s="57" t="s">
        <v>616</v>
      </c>
      <c r="B24" s="57" t="s">
        <v>734</v>
      </c>
      <c r="C24" s="57" t="s">
        <v>735</v>
      </c>
      <c r="D24" s="57" t="s">
        <v>736</v>
      </c>
      <c r="E24" s="57" t="s">
        <v>737</v>
      </c>
      <c r="F24" s="57" t="s">
        <v>722</v>
      </c>
      <c r="G24" s="59" t="s">
        <v>738</v>
      </c>
      <c r="H24" s="57" t="s">
        <v>622</v>
      </c>
      <c r="I24" s="57" t="s">
        <v>406</v>
      </c>
      <c r="J24" s="58"/>
      <c r="K24" s="57" t="s">
        <v>169</v>
      </c>
    </row>
    <row r="25" spans="1:11" ht="180" x14ac:dyDescent="0.25">
      <c r="A25" s="57" t="s">
        <v>616</v>
      </c>
      <c r="B25" s="57" t="s">
        <v>739</v>
      </c>
      <c r="C25" s="57" t="s">
        <v>740</v>
      </c>
      <c r="D25" s="57" t="s">
        <v>741</v>
      </c>
      <c r="E25" s="57" t="s">
        <v>742</v>
      </c>
      <c r="F25" s="57" t="s">
        <v>743</v>
      </c>
      <c r="G25" s="59" t="s">
        <v>744</v>
      </c>
      <c r="H25" s="57" t="s">
        <v>622</v>
      </c>
      <c r="I25" s="57" t="s">
        <v>406</v>
      </c>
      <c r="J25" s="58"/>
      <c r="K25" s="57" t="s">
        <v>5</v>
      </c>
    </row>
    <row r="26" spans="1:11" ht="135" x14ac:dyDescent="0.25">
      <c r="A26" s="57" t="s">
        <v>616</v>
      </c>
      <c r="B26" s="57" t="s">
        <v>745</v>
      </c>
      <c r="C26" s="57" t="s">
        <v>746</v>
      </c>
      <c r="D26" s="57" t="s">
        <v>747</v>
      </c>
      <c r="E26" s="57" t="s">
        <v>748</v>
      </c>
      <c r="F26" s="57" t="s">
        <v>743</v>
      </c>
      <c r="G26" s="57" t="s">
        <v>749</v>
      </c>
      <c r="H26" s="57" t="s">
        <v>622</v>
      </c>
      <c r="I26" s="57" t="s">
        <v>750</v>
      </c>
      <c r="J26" s="58"/>
      <c r="K26" s="57" t="s">
        <v>169</v>
      </c>
    </row>
    <row r="27" spans="1:11" ht="15.75" thickBot="1" x14ac:dyDescent="0.3"/>
    <row r="28" spans="1:11" x14ac:dyDescent="0.25">
      <c r="A28" s="53" t="s">
        <v>9</v>
      </c>
      <c r="B28" s="49">
        <v>25</v>
      </c>
    </row>
    <row r="29" spans="1:11" x14ac:dyDescent="0.25">
      <c r="A29" s="54" t="s">
        <v>3</v>
      </c>
      <c r="B29" s="50">
        <f>B28-B30</f>
        <v>3</v>
      </c>
    </row>
    <row r="30" spans="1:11" x14ac:dyDescent="0.25">
      <c r="A30" s="55" t="s">
        <v>4</v>
      </c>
      <c r="B30" s="51">
        <v>22</v>
      </c>
    </row>
    <row r="31" spans="1:11" ht="15.75" thickBot="1" x14ac:dyDescent="0.3">
      <c r="A31" s="56" t="s">
        <v>751</v>
      </c>
      <c r="B31" s="52">
        <v>3</v>
      </c>
    </row>
  </sheetData>
  <autoFilter ref="A1:K26" xr:uid="{30D154CC-4392-49EF-BA0A-C5682E44AF43}"/>
  <conditionalFormatting sqref="K2:K26">
    <cfRule type="containsText" dxfId="2" priority="1" operator="containsText" text="In-Progress">
      <formula>NOT(ISERROR(SEARCH("In-Progress",K2)))</formula>
    </cfRule>
    <cfRule type="containsText" dxfId="1" priority="2" operator="containsText" text="Open">
      <formula>NOT(ISERROR(SEARCH("Open",K2)))</formula>
    </cfRule>
    <cfRule type="containsText" dxfId="0" priority="3" operator="containsText" text="Closed ">
      <formula>NOT(ISERROR(SEARCH("Closed ",K2)))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BA3D140E137B4A958CB69032DDC598" ma:contentTypeVersion="6" ma:contentTypeDescription="Create a new document." ma:contentTypeScope="" ma:versionID="9fc423e4142cc19771a02ab9d5c22b4a">
  <xsd:schema xmlns:xsd="http://www.w3.org/2001/XMLSchema" xmlns:xs="http://www.w3.org/2001/XMLSchema" xmlns:p="http://schemas.microsoft.com/office/2006/metadata/properties" xmlns:ns2="75a8b80b-1103-49d0-9bdd-e44b7ad9f26d" targetNamespace="http://schemas.microsoft.com/office/2006/metadata/properties" ma:root="true" ma:fieldsID="468144757bb3d0d4e89374ea972e2cc4" ns2:_="">
    <xsd:import namespace="75a8b80b-1103-49d0-9bdd-e44b7ad9f26d"/>
    <xsd:element name="properties">
      <xsd:complexType>
        <xsd:sequence>
          <xsd:element name="documentManagement">
            <xsd:complexType>
              <xsd:all>
                <xsd:element ref="ns2:PSM_x0020_Workflow" minOccurs="0"/>
                <xsd:element ref="ns2:Procedure_x0020_No"/>
                <xsd:element ref="ns2:Library_x0020_Link" minOccurs="0"/>
                <xsd:element ref="ns2:MediaServiceSearchProperties" minOccurs="0"/>
                <xsd:element ref="ns2:MediaServiceObjectDetectorVersion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8b80b-1103-49d0-9bdd-e44b7ad9f26d" elementFormDefault="qualified">
    <xsd:import namespace="http://schemas.microsoft.com/office/2006/documentManagement/types"/>
    <xsd:import namespace="http://schemas.microsoft.com/office/infopath/2007/PartnerControls"/>
    <xsd:element name="PSM_x0020_Workflow" ma:index="4" nillable="true" ma:displayName="PSM Workflow" ma:format="Hyperlink" ma:internalName="PSM_x0020_Workflow"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cedure_x0020_No" ma:index="5" ma:displayName="Procedure No" ma:default="NA" ma:description="Procedure Number" ma:format="Dropdown" ma:internalName="Procedure_x0020_No" ma:readOnly="false">
      <xsd:simpleType>
        <xsd:restriction base="dms:Choice">
          <xsd:enumeration value="NA"/>
          <xsd:enumeration value="1008.0"/>
          <xsd:enumeration value="1008.1"/>
          <xsd:enumeration value="1008.2"/>
          <xsd:enumeration value="1008.3"/>
          <xsd:enumeration value="1008.3.1"/>
          <xsd:enumeration value="1008.4"/>
          <xsd:enumeration value="1008.5"/>
          <xsd:enumeration value="1008.5.1"/>
          <xsd:enumeration value="1008.5.2"/>
          <xsd:enumeration value="1008.6"/>
          <xsd:enumeration value="1008.6.1"/>
          <xsd:enumeration value="1008.6.2"/>
          <xsd:enumeration value="1008.6.3"/>
          <xsd:enumeration value="1008.6.4"/>
          <xsd:enumeration value="1008.7"/>
          <xsd:enumeration value="1008.8"/>
          <xsd:enumeration value="1008.9"/>
          <xsd:enumeration value="1008.10"/>
          <xsd:enumeration value="1008.11"/>
          <xsd:enumeration value="1008.12"/>
          <xsd:enumeration value="1008.12.1"/>
          <xsd:enumeration value="1008.12.3"/>
          <xsd:enumeration value="1008.12.4"/>
          <xsd:enumeration value="1008.13"/>
          <xsd:enumeration value="1008.14"/>
        </xsd:restriction>
      </xsd:simpleType>
    </xsd:element>
    <xsd:element name="Library_x0020_Link" ma:index="6" nillable="true" ma:displayName="Library Link" ma:format="Hyperlink" ma:internalName="Library_x0020_Lin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SM_x0020_Workflow xmlns="75a8b80b-1103-49d0-9bdd-e44b7ad9f26d">
      <Url xsi:nil="true"/>
      <Description xsi:nil="true"/>
    </PSM_x0020_Workflow>
    <Procedure_x0020_No xmlns="75a8b80b-1103-49d0-9bdd-e44b7ad9f26d">NA</Procedure_x0020_No>
    <Library_x0020_Link xmlns="75a8b80b-1103-49d0-9bdd-e44b7ad9f26d">
      <Url xsi:nil="true"/>
      <Description xsi:nil="true"/>
    </Library_x0020_Link>
  </documentManagement>
</p:properties>
</file>

<file path=customXml/itemProps1.xml><?xml version="1.0" encoding="utf-8"?>
<ds:datastoreItem xmlns:ds="http://schemas.openxmlformats.org/officeDocument/2006/customXml" ds:itemID="{0F70D526-B781-4180-815C-6566C8BC5184}">
  <ds:schemaRefs>
    <ds:schemaRef ds:uri="http://schemas.microsoft.com/sharepoint/v3/contenttype/forms"/>
  </ds:schemaRefs>
</ds:datastoreItem>
</file>

<file path=customXml/itemProps2.xml><?xml version="1.0" encoding="utf-8"?>
<ds:datastoreItem xmlns:ds="http://schemas.openxmlformats.org/officeDocument/2006/customXml" ds:itemID="{F64987A2-CBCA-404D-AEF1-48BE03E90F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a8b80b-1103-49d0-9bdd-e44b7ad9f2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6E53E6-AD9A-44D9-BC24-DCD12ECDD63D}">
  <ds:schemaRefs>
    <ds:schemaRef ds:uri="http://schemas.microsoft.com/office/2006/metadata/properties"/>
    <ds:schemaRef ds:uri="http://schemas.microsoft.com/office/infopath/2007/PartnerControls"/>
    <ds:schemaRef ds:uri="75a8b80b-1103-49d0-9bdd-e44b7ad9f2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Management Dashboard </vt:lpstr>
      <vt:lpstr>2026 PSM_RMP</vt:lpstr>
      <vt:lpstr>2026 PHA - 300,400,600</vt:lpstr>
      <vt:lpstr>2024 PHA - 500,800,900</vt:lpstr>
      <vt:lpstr>2023 PHA - 100,200</vt:lpstr>
      <vt:lpstr>2021 PHA -300,400,600</vt:lpstr>
      <vt:lpstr>2021 PSM Audit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Chad Kelly</cp:lastModifiedBy>
  <cp:revision/>
  <dcterms:created xsi:type="dcterms:W3CDTF">2026-05-07T19:06:23Z</dcterms:created>
  <dcterms:modified xsi:type="dcterms:W3CDTF">2026-10-12T17:55:20Z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0x01010080BA3D140E137B4A958CB69032DDC598</vt:lpwstr>
  </property>
</Properties>
</file>